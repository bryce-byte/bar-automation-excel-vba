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56a08112507d411/Desktop/KPI's/"/>
    </mc:Choice>
  </mc:AlternateContent>
  <xr:revisionPtr revIDLastSave="30" documentId="8_{D50D4629-9970-4C7E-A47F-F0D4ECBDE601}" xr6:coauthVersionLast="47" xr6:coauthVersionMax="47" xr10:uidLastSave="{C17F9497-8C1B-4574-A74A-FDEF6C7811F9}"/>
  <bookViews>
    <workbookView xWindow="-56124" yWindow="2448" windowWidth="21120" windowHeight="11040" activeTab="3" xr2:uid="{BB47EE70-55C3-4963-9261-A4E0FC9758C1}"/>
  </bookViews>
  <sheets>
    <sheet name="Sheet1" sheetId="1" r:id="rId1"/>
    <sheet name="MAIN" sheetId="2" r:id="rId2"/>
    <sheet name="CLOSEOUT" sheetId="3" r:id="rId3"/>
    <sheet name="ORDER" sheetId="4" r:id="rId4"/>
    <sheet name="INVENTORY" sheetId="5" r:id="rId5"/>
    <sheet name="RECIPES" sheetId="6" r:id="rId6"/>
    <sheet name="MENU_ENGINEERING" sheetId="7" r:id="rId7"/>
    <sheet name="LABOR" sheetId="8" r:id="rId8"/>
    <sheet name="DATA_SALES" sheetId="9" r:id="rId9"/>
    <sheet name="DATA_COUNTS" sheetId="10" r:id="rId10"/>
    <sheet name="DATA_DELIVERIES" sheetId="11" r:id="rId11"/>
    <sheet name="DATA_STAFF" sheetId="12" r:id="rId12"/>
    <sheet name="DATA_ITEMS" sheetId="13" r:id="rId13"/>
    <sheet name="SETTINGS" sheetId="14" r:id="rId14"/>
    <sheet name="PIVOTS" sheetId="15" r:id="rId15"/>
    <sheet name="SNAPSHOTS" sheetId="16" r:id="rId16"/>
    <sheet name="ORDERS" sheetId="17" r:id="rId17"/>
    <sheet name="DATA_VENDORS" sheetId="18" r:id="rId18"/>
  </sheets>
  <functionGroups builtInGroupCount="19"/>
  <definedNames>
    <definedName name="cardLaborPct">MAIN!$J$3:$L$6</definedName>
    <definedName name="cardNetSales">MAIN!$A$3:$C$6</definedName>
    <definedName name="cardPourCost">MAIN!$D$3:$F$6</definedName>
    <definedName name="cardPrimePct">MAIN!$M$3:$N$6</definedName>
    <definedName name="cardShrinkPct">MAIN!$G$3:$I$6</definedName>
    <definedName name="nmLastPONum">SETTINGS!$Z$2</definedName>
    <definedName name="nmSalesTaxRate">SETTINGS!$B$7</definedName>
    <definedName name="_xlnm.Print_Area" localSheetId="3">ORDER!$A$1:$I$39</definedName>
    <definedName name="VendorList">INDEX(DATA_VENDORS!$B:$B,2):INDEX(DATA_VENDORS!$B:$B,COUNTA(DATA_VENDORS!$B:$B))</definedName>
  </definedNames>
  <calcPr calcId="191029"/>
  <pivotCaches>
    <pivotCache cacheId="0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7" i="4" l="1"/>
  <c r="H16" i="4"/>
  <c r="I6" i="5"/>
  <c r="I5" i="5"/>
  <c r="I4" i="5"/>
  <c r="I3" i="5"/>
  <c r="I2" i="5"/>
  <c r="H17" i="4" l="1"/>
  <c r="H18" i="4" s="1"/>
</calcChain>
</file>

<file path=xl/sharedStrings.xml><?xml version="1.0" encoding="utf-8"?>
<sst xmlns="http://schemas.openxmlformats.org/spreadsheetml/2006/main" count="631" uniqueCount="228">
  <si>
    <t>SaleDate</t>
  </si>
  <si>
    <t>Shift</t>
  </si>
  <si>
    <t>OrderID</t>
  </si>
  <si>
    <t>ItemID</t>
  </si>
  <si>
    <t>ItemName</t>
  </si>
  <si>
    <t>Category</t>
  </si>
  <si>
    <t>Qty</t>
  </si>
  <si>
    <t>GrossSales</t>
  </si>
  <si>
    <t>Discount</t>
  </si>
  <si>
    <t>NetSales</t>
  </si>
  <si>
    <t>Tax</t>
  </si>
  <si>
    <t>Tip</t>
  </si>
  <si>
    <t>TenderType</t>
  </si>
  <si>
    <t>Bartender</t>
  </si>
  <si>
    <t>SizeML</t>
  </si>
  <si>
    <t>CostPerUnit</t>
  </si>
  <si>
    <t>Vendor</t>
  </si>
  <si>
    <t>ParLevelUnits</t>
  </si>
  <si>
    <t>ReorderPointUnits</t>
  </si>
  <si>
    <t>Active</t>
  </si>
  <si>
    <t>CountDate</t>
  </si>
  <si>
    <t>UnitsCounted</t>
  </si>
  <si>
    <t>Notes</t>
  </si>
  <si>
    <t>CountedBy</t>
  </si>
  <si>
    <t>DeliveryDate</t>
  </si>
  <si>
    <t>InvoiceNo</t>
  </si>
  <si>
    <t>UnitsDelivered</t>
  </si>
  <si>
    <t>UnitCost</t>
  </si>
  <si>
    <t>TotalCost</t>
  </si>
  <si>
    <t>StaffID</t>
  </si>
  <si>
    <t>StaffName</t>
  </si>
  <si>
    <t>Role</t>
  </si>
  <si>
    <t>HourlyRate</t>
  </si>
  <si>
    <t>TipSharePct</t>
  </si>
  <si>
    <t>DrinkID</t>
  </si>
  <si>
    <t>DrinkName</t>
  </si>
  <si>
    <t>IngredientItemID</t>
  </si>
  <si>
    <t>OuncesUsed</t>
  </si>
  <si>
    <t>CostPerOz</t>
  </si>
  <si>
    <t>IngredientCost</t>
  </si>
  <si>
    <t>TotalDrinkCost</t>
  </si>
  <si>
    <t>TargetPourCostPct</t>
  </si>
  <si>
    <t>SuggestedPrice</t>
  </si>
  <si>
    <t>ShiftDate</t>
  </si>
  <si>
    <t>HoursPlanned</t>
  </si>
  <si>
    <t>HoursActual</t>
  </si>
  <si>
    <t>Setting</t>
  </si>
  <si>
    <t>Value</t>
  </si>
  <si>
    <t>Default Pour Size (oz)</t>
  </si>
  <si>
    <t>Tax Rate</t>
  </si>
  <si>
    <t>Shrinkage Warning Threshold (%)</t>
  </si>
  <si>
    <t>Labor Warning Threshold (%)</t>
  </si>
  <si>
    <t>UnitsOnHand</t>
  </si>
  <si>
    <t>ParLevel</t>
  </si>
  <si>
    <t>ReorderPoint</t>
  </si>
  <si>
    <t>SuggestedOrder</t>
  </si>
  <si>
    <t>InventoryValue</t>
  </si>
  <si>
    <t>TheoreticalUsage</t>
  </si>
  <si>
    <t>SalesUsage</t>
  </si>
  <si>
    <t>ShrinkageUnits</t>
  </si>
  <si>
    <t>ShrinkagePct</t>
  </si>
  <si>
    <t>Status</t>
  </si>
  <si>
    <t>Labor KPIs (Last 14 Days)</t>
  </si>
  <si>
    <t>Planned Hours</t>
  </si>
  <si>
    <t>Labor $</t>
  </si>
  <si>
    <t>Net Sales</t>
  </si>
  <si>
    <t>Labor % of Sales</t>
  </si>
  <si>
    <t>BarOps Executive Dashboard</t>
  </si>
  <si>
    <t>Net Sales (14d)</t>
  </si>
  <si>
    <t>Pour Cost %</t>
  </si>
  <si>
    <t>Shrinkage %</t>
  </si>
  <si>
    <t>Labor %</t>
  </si>
  <si>
    <t>Prime Cost %</t>
  </si>
  <si>
    <t>Sales Trend</t>
  </si>
  <si>
    <t>Category Mix</t>
  </si>
  <si>
    <t>Top Shrinkage Items</t>
  </si>
  <si>
    <t>Bartender Sales</t>
  </si>
  <si>
    <t>Filters</t>
  </si>
  <si>
    <t>Default Target Pour Cost (%)</t>
  </si>
  <si>
    <t>Bar Closeout Report</t>
  </si>
  <si>
    <t>Closeout Date</t>
  </si>
  <si>
    <t>Closeout Time</t>
  </si>
  <si>
    <t>Net Sales (Today)</t>
  </si>
  <si>
    <t>Avg Shrinkage % (Window)</t>
  </si>
  <si>
    <t>Labor % (14d)</t>
  </si>
  <si>
    <t>Pour Cost Target %</t>
  </si>
  <si>
    <t>Purchase Order</t>
  </si>
  <si>
    <t>PO Date:</t>
  </si>
  <si>
    <t>LineTotal</t>
  </si>
  <si>
    <t>TOTAL:</t>
  </si>
  <si>
    <t>Snapshot: 11/21/2025 3:50 PM</t>
  </si>
  <si>
    <t>MAIN</t>
  </si>
  <si>
    <t>INVENTORY</t>
  </si>
  <si>
    <t>ORDER</t>
  </si>
  <si>
    <t>L001</t>
  </si>
  <si>
    <t>Vodka 1L</t>
  </si>
  <si>
    <t>Liquor</t>
  </si>
  <si>
    <t>Bottle</t>
  </si>
  <si>
    <t>VendorA</t>
  </si>
  <si>
    <t>L002</t>
  </si>
  <si>
    <t>Tequila 750ml</t>
  </si>
  <si>
    <t>B001</t>
  </si>
  <si>
    <t>IPA Keg</t>
  </si>
  <si>
    <t>Beer</t>
  </si>
  <si>
    <t>Keg</t>
  </si>
  <si>
    <t>VendorB</t>
  </si>
  <si>
    <t>W001</t>
  </si>
  <si>
    <t>Cabernet Bottle</t>
  </si>
  <si>
    <t>Wine</t>
  </si>
  <si>
    <t>VendorC</t>
  </si>
  <si>
    <t>F001</t>
  </si>
  <si>
    <t>Wings Basket</t>
  </si>
  <si>
    <t>Food</t>
  </si>
  <si>
    <t>VendorD</t>
  </si>
  <si>
    <t>S001</t>
  </si>
  <si>
    <t>Alex</t>
  </si>
  <si>
    <t>S002</t>
  </si>
  <si>
    <t>Riley</t>
  </si>
  <si>
    <t>S003</t>
  </si>
  <si>
    <t>Jordan</t>
  </si>
  <si>
    <t>Barback</t>
  </si>
  <si>
    <t>INV1001</t>
  </si>
  <si>
    <t>INV2001</t>
  </si>
  <si>
    <t>PM</t>
  </si>
  <si>
    <t>ORD0011</t>
  </si>
  <si>
    <t>Card</t>
  </si>
  <si>
    <t>ORD0511</t>
  </si>
  <si>
    <t>ORD0811</t>
  </si>
  <si>
    <t>Cash</t>
  </si>
  <si>
    <t>ORD0021</t>
  </si>
  <si>
    <t>ORD0521</t>
  </si>
  <si>
    <t>ORD0821</t>
  </si>
  <si>
    <t>ORD0031</t>
  </si>
  <si>
    <t>ORD0531</t>
  </si>
  <si>
    <t>ORD0831</t>
  </si>
  <si>
    <t>ORD0041</t>
  </si>
  <si>
    <t>ORD0541</t>
  </si>
  <si>
    <t>ORD0841</t>
  </si>
  <si>
    <t>ORD0051</t>
  </si>
  <si>
    <t>ORD0551</t>
  </si>
  <si>
    <t>ORD0851</t>
  </si>
  <si>
    <t>ORD0061</t>
  </si>
  <si>
    <t>ORD0561</t>
  </si>
  <si>
    <t>ORD0861</t>
  </si>
  <si>
    <t>ORD0071</t>
  </si>
  <si>
    <t>ORD0571</t>
  </si>
  <si>
    <t>ORD0871</t>
  </si>
  <si>
    <t>ORD0081</t>
  </si>
  <si>
    <t>ORD0581</t>
  </si>
  <si>
    <t>ORD0881</t>
  </si>
  <si>
    <t>ORD0091</t>
  </si>
  <si>
    <t>ORD0591</t>
  </si>
  <si>
    <t>ORD0891</t>
  </si>
  <si>
    <t>ORD0101</t>
  </si>
  <si>
    <t>ORD0601</t>
  </si>
  <si>
    <t>ORD0901</t>
  </si>
  <si>
    <t>ORD0111</t>
  </si>
  <si>
    <t>ORD0611</t>
  </si>
  <si>
    <t>ORD0911</t>
  </si>
  <si>
    <t>ORD0121</t>
  </si>
  <si>
    <t>ORD0621</t>
  </si>
  <si>
    <t>ORD0921</t>
  </si>
  <si>
    <t>ORD0131</t>
  </si>
  <si>
    <t>ORD0631</t>
  </si>
  <si>
    <t>ORD0931</t>
  </si>
  <si>
    <t>ORD0141</t>
  </si>
  <si>
    <t>ORD0641</t>
  </si>
  <si>
    <t>ORD0941</t>
  </si>
  <si>
    <t>Sales Summary (Net Sales by Date)</t>
  </si>
  <si>
    <t>REORDER</t>
  </si>
  <si>
    <t>OK</t>
  </si>
  <si>
    <t>MARG</t>
  </si>
  <si>
    <t>Margarita</t>
  </si>
  <si>
    <t>TEQ750</t>
  </si>
  <si>
    <t>LIME01</t>
  </si>
  <si>
    <t>SIMP01</t>
  </si>
  <si>
    <t>OLDFA</t>
  </si>
  <si>
    <t>Old Fashioned</t>
  </si>
  <si>
    <t>WHI750</t>
  </si>
  <si>
    <t>MOSMU</t>
  </si>
  <si>
    <t>Moscow Mule</t>
  </si>
  <si>
    <t>VOD750</t>
  </si>
  <si>
    <t>GGBR01</t>
  </si>
  <si>
    <t>WHISO</t>
  </si>
  <si>
    <t>Whiskey Sour</t>
  </si>
  <si>
    <t>GNTON</t>
  </si>
  <si>
    <t>Gin and Tonic</t>
  </si>
  <si>
    <t>GIN750</t>
  </si>
  <si>
    <t>TONC01</t>
  </si>
  <si>
    <t>VODCR</t>
  </si>
  <si>
    <t>Vodka Cran</t>
  </si>
  <si>
    <t>CRAJ01</t>
  </si>
  <si>
    <t>RUMCO</t>
  </si>
  <si>
    <t>Rum &amp; Coke</t>
  </si>
  <si>
    <t>RUM750</t>
  </si>
  <si>
    <t>COKE01</t>
  </si>
  <si>
    <t>Column1</t>
  </si>
  <si>
    <t>BarOps — Purchase Orders</t>
  </si>
  <si>
    <t>Order Date</t>
  </si>
  <si>
    <t>Requested By</t>
  </si>
  <si>
    <t>Add Item to Order</t>
  </si>
  <si>
    <t>Item</t>
  </si>
  <si>
    <t>Unit</t>
  </si>
  <si>
    <t>Unit Cost</t>
  </si>
  <si>
    <t>Line Total</t>
  </si>
  <si>
    <t>Order Lines</t>
  </si>
  <si>
    <t>Totals</t>
  </si>
  <si>
    <t>Order History</t>
  </si>
  <si>
    <t>OrderDate</t>
  </si>
  <si>
    <t>RequestedBy</t>
  </si>
  <si>
    <t>Total</t>
  </si>
  <si>
    <t>PO #</t>
  </si>
  <si>
    <t>Sales Tax Rate (%)</t>
  </si>
  <si>
    <t>Stella</t>
  </si>
  <si>
    <t>B002</t>
  </si>
  <si>
    <t>VendorID</t>
  </si>
  <si>
    <t>VendorName</t>
  </si>
  <si>
    <t>Contact</t>
  </si>
  <si>
    <t>Email</t>
  </si>
  <si>
    <t>Phone</t>
  </si>
  <si>
    <t>V001</t>
  </si>
  <si>
    <t>John Smith</t>
  </si>
  <si>
    <t>john@vendora.com</t>
  </si>
  <si>
    <t>555-1111</t>
  </si>
  <si>
    <t>V002</t>
  </si>
  <si>
    <t>Subtotal</t>
  </si>
  <si>
    <t>PO-000022</t>
  </si>
  <si>
    <t>Keith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</si>
</sst>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"/>
    <numFmt numFmtId="165" formatCode="0.0%"/>
    <numFmt numFmtId="166" formatCode="&quot;$&quot;#,##0.00"/>
    <numFmt numFmtId="167" formatCode="mm/dd/yyyy"/>
  </numFmts>
  <fonts count="16" x14ac:knownFonts="1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20"/>
      <color rgb="FFFFFFFF"/>
      <name val="Calibri"/>
      <family val="2"/>
    </font>
    <font>
      <b/>
      <sz val="10"/>
      <color rgb="FF505050"/>
      <name val="Calibri"/>
      <family val="2"/>
    </font>
    <font>
      <b/>
      <sz val="16"/>
      <color rgb="FF1F4E79"/>
      <name val="Calibri"/>
      <family val="2"/>
    </font>
    <font>
      <b/>
      <sz val="11"/>
      <color theme="1"/>
      <name val="Aptos Narrow"/>
      <family val="2"/>
      <scheme val="minor"/>
    </font>
    <font>
      <b/>
      <sz val="16"/>
      <color theme="1"/>
      <name val="Calibri"/>
      <family val="2"/>
    </font>
    <font>
      <sz val="8"/>
      <name val="Aptos Narrow"/>
      <family val="2"/>
      <scheme val="minor"/>
    </font>
    <font>
      <b/>
      <sz val="18"/>
      <color rgb="FFFFFFFF"/>
      <name val="Calibri"/>
      <family val="2"/>
    </font>
    <font>
      <b/>
      <sz val="12"/>
      <color theme="1"/>
      <name val="Calibri"/>
      <family val="2"/>
    </font>
    <font>
      <b/>
      <sz val="11"/>
      <color rgb="FFFFFFFF"/>
      <name val="Calibri"/>
      <family val="2"/>
    </font>
    <font>
      <b/>
      <sz val="12"/>
      <color rgb="FF1F4E79"/>
      <name val="Calibri"/>
      <family val="2"/>
    </font>
    <font>
      <b/>
      <sz val="11"/>
      <color rgb="FFFFFFFF"/>
      <name val="Aptos Narrow"/>
      <family val="2"/>
      <scheme val="minor"/>
    </font>
    <font>
      <b/>
      <sz val="11"/>
      <color theme="0"/>
      <name val="Calibri"/>
      <family val="2"/>
    </font>
    <font>
      <b/>
      <sz val="12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7F8FA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rgb="FF969696"/>
      </top>
      <bottom/>
      <diagonal/>
    </border>
  </borders>
  <cellStyleXfs count="1">
    <xf numFmtId="0" fontId="0" fillId="0" borderId="0"/>
  </cellStyleXfs>
  <cellXfs count="92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7" fillId="2" borderId="0" xfId="0" applyFont="1" applyFill="1"/>
    <xf numFmtId="14" fontId="1" fillId="2" borderId="0" xfId="0" applyNumberFormat="1" applyFont="1" applyFill="1"/>
    <xf numFmtId="18" fontId="1" fillId="2" borderId="0" xfId="0" applyNumberFormat="1" applyFont="1" applyFill="1"/>
    <xf numFmtId="164" fontId="1" fillId="2" borderId="0" xfId="0" applyNumberFormat="1" applyFont="1" applyFill="1"/>
    <xf numFmtId="165" fontId="1" fillId="2" borderId="0" xfId="0" applyNumberFormat="1" applyFont="1" applyFill="1"/>
    <xf numFmtId="0" fontId="2" fillId="3" borderId="9" xfId="0" applyFont="1" applyFill="1" applyBorder="1"/>
    <xf numFmtId="166" fontId="1" fillId="2" borderId="0" xfId="0" applyNumberFormat="1" applyFont="1" applyFill="1"/>
    <xf numFmtId="0" fontId="1" fillId="2" borderId="11" xfId="0" applyFont="1" applyFill="1" applyBorder="1"/>
    <xf numFmtId="0" fontId="2" fillId="2" borderId="12" xfId="0" applyFont="1" applyFill="1" applyBorder="1"/>
    <xf numFmtId="0" fontId="1" fillId="2" borderId="13" xfId="0" applyFont="1" applyFill="1" applyBorder="1"/>
    <xf numFmtId="0" fontId="1" fillId="2" borderId="14" xfId="0" applyFont="1" applyFill="1" applyBorder="1"/>
    <xf numFmtId="0" fontId="2" fillId="2" borderId="13" xfId="0" applyFont="1" applyFill="1" applyBorder="1"/>
    <xf numFmtId="0" fontId="2" fillId="2" borderId="17" xfId="0" applyFont="1" applyFill="1" applyBorder="1"/>
    <xf numFmtId="0" fontId="1" fillId="2" borderId="18" xfId="0" applyFont="1" applyFill="1" applyBorder="1"/>
    <xf numFmtId="0" fontId="2" fillId="2" borderId="18" xfId="0" applyFont="1" applyFill="1" applyBorder="1"/>
    <xf numFmtId="0" fontId="1" fillId="2" borderId="19" xfId="0" applyFont="1" applyFill="1" applyBorder="1"/>
    <xf numFmtId="0" fontId="2" fillId="2" borderId="20" xfId="0" applyFont="1" applyFill="1" applyBorder="1"/>
    <xf numFmtId="0" fontId="2" fillId="2" borderId="21" xfId="0" applyFont="1" applyFill="1" applyBorder="1"/>
    <xf numFmtId="0" fontId="2" fillId="2" borderId="22" xfId="0" applyFont="1" applyFill="1" applyBorder="1"/>
    <xf numFmtId="0" fontId="7" fillId="2" borderId="10" xfId="0" applyFont="1" applyFill="1" applyBorder="1"/>
    <xf numFmtId="0" fontId="1" fillId="2" borderId="12" xfId="0" applyFont="1" applyFill="1" applyBorder="1"/>
    <xf numFmtId="0" fontId="1" fillId="2" borderId="17" xfId="0" applyFont="1" applyFill="1" applyBorder="1"/>
    <xf numFmtId="166" fontId="2" fillId="2" borderId="18" xfId="0" applyNumberFormat="1" applyFont="1" applyFill="1" applyBorder="1"/>
    <xf numFmtId="14" fontId="0" fillId="0" borderId="0" xfId="0" applyNumberFormat="1"/>
    <xf numFmtId="0" fontId="0" fillId="0" borderId="0" xfId="0" pivotButton="1"/>
    <xf numFmtId="164" fontId="0" fillId="0" borderId="0" xfId="0" applyNumberFormat="1"/>
    <xf numFmtId="0" fontId="6" fillId="0" borderId="0" xfId="0" applyFont="1"/>
    <xf numFmtId="165" fontId="0" fillId="0" borderId="0" xfId="0" applyNumberFormat="1"/>
    <xf numFmtId="0" fontId="10" fillId="2" borderId="0" xfId="0" applyFont="1" applyFill="1"/>
    <xf numFmtId="0" fontId="2" fillId="3" borderId="20" xfId="0" applyFont="1" applyFill="1" applyBorder="1"/>
    <xf numFmtId="0" fontId="2" fillId="3" borderId="21" xfId="0" applyFont="1" applyFill="1" applyBorder="1"/>
    <xf numFmtId="0" fontId="2" fillId="3" borderId="22" xfId="0" applyFont="1" applyFill="1" applyBorder="1"/>
    <xf numFmtId="0" fontId="1" fillId="3" borderId="9" xfId="0" applyFont="1" applyFill="1" applyBorder="1" applyAlignment="1">
      <alignment horizontal="left" vertical="center"/>
    </xf>
    <xf numFmtId="166" fontId="1" fillId="3" borderId="9" xfId="0" applyNumberFormat="1" applyFont="1" applyFill="1" applyBorder="1" applyAlignment="1">
      <alignment horizontal="left" vertical="center"/>
    </xf>
    <xf numFmtId="166" fontId="2" fillId="3" borderId="9" xfId="0" applyNumberFormat="1" applyFont="1" applyFill="1" applyBorder="1" applyAlignment="1">
      <alignment horizontal="left" vertical="center"/>
    </xf>
    <xf numFmtId="0" fontId="12" fillId="3" borderId="22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left" vertical="center"/>
    </xf>
    <xf numFmtId="0" fontId="1" fillId="3" borderId="22" xfId="0" applyFont="1" applyFill="1" applyBorder="1" applyAlignment="1">
      <alignment horizontal="left" vertical="center"/>
    </xf>
    <xf numFmtId="166" fontId="11" fillId="5" borderId="0" xfId="0" applyNumberFormat="1" applyFont="1" applyFill="1" applyAlignment="1">
      <alignment horizontal="center"/>
    </xf>
    <xf numFmtId="10" fontId="1" fillId="2" borderId="0" xfId="0" applyNumberFormat="1" applyFont="1" applyFill="1"/>
    <xf numFmtId="166" fontId="0" fillId="0" borderId="0" xfId="0" applyNumberFormat="1"/>
    <xf numFmtId="0" fontId="0" fillId="0" borderId="9" xfId="0" applyBorder="1"/>
    <xf numFmtId="0" fontId="0" fillId="0" borderId="23" xfId="0" applyBorder="1" applyAlignment="1">
      <alignment horizontal="left" vertical="center"/>
    </xf>
    <xf numFmtId="166" fontId="0" fillId="0" borderId="24" xfId="0" applyNumberFormat="1" applyBorder="1" applyAlignment="1">
      <alignment horizontal="right" vertical="center"/>
    </xf>
    <xf numFmtId="166" fontId="0" fillId="0" borderId="23" xfId="0" applyNumberFormat="1" applyBorder="1" applyAlignment="1">
      <alignment horizontal="right" vertical="center"/>
    </xf>
    <xf numFmtId="0" fontId="0" fillId="0" borderId="25" xfId="0" applyBorder="1" applyAlignment="1">
      <alignment horizontal="left" vertical="center"/>
    </xf>
    <xf numFmtId="0" fontId="6" fillId="6" borderId="26" xfId="0" applyFont="1" applyFill="1" applyBorder="1" applyAlignment="1">
      <alignment horizontal="left" vertical="center"/>
    </xf>
    <xf numFmtId="166" fontId="6" fillId="6" borderId="26" xfId="0" applyNumberFormat="1" applyFont="1" applyFill="1" applyBorder="1" applyAlignment="1">
      <alignment horizontal="right" vertical="center"/>
    </xf>
    <xf numFmtId="166" fontId="2" fillId="2" borderId="0" xfId="0" applyNumberFormat="1" applyFont="1" applyFill="1"/>
    <xf numFmtId="167" fontId="0" fillId="0" borderId="0" xfId="0" applyNumberFormat="1"/>
    <xf numFmtId="0" fontId="1" fillId="2" borderId="9" xfId="0" applyFont="1" applyFill="1" applyBorder="1"/>
    <xf numFmtId="0" fontId="14" fillId="2" borderId="0" xfId="0" applyFont="1" applyFill="1"/>
    <xf numFmtId="167" fontId="1" fillId="2" borderId="0" xfId="0" applyNumberFormat="1" applyFont="1" applyFill="1"/>
    <xf numFmtId="0" fontId="13" fillId="4" borderId="9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3" fillId="4" borderId="25" xfId="0" applyFont="1" applyFill="1" applyBorder="1" applyAlignment="1">
      <alignment horizontal="center" vertical="center"/>
    </xf>
    <xf numFmtId="0" fontId="13" fillId="4" borderId="24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left" vertical="center"/>
    </xf>
    <xf numFmtId="0" fontId="9" fillId="4" borderId="0" xfId="0" applyFont="1" applyFill="1" applyAlignment="1">
      <alignment horizontal="center" vertical="center"/>
    </xf>
    <xf numFmtId="0" fontId="1" fillId="3" borderId="20" xfId="0" applyFont="1" applyFill="1" applyBorder="1"/>
    <xf numFmtId="0" fontId="1" fillId="3" borderId="21" xfId="0" applyFont="1" applyFill="1" applyBorder="1"/>
    <xf numFmtId="0" fontId="1" fillId="3" borderId="22" xfId="0" applyFont="1" applyFill="1" applyBorder="1"/>
    <xf numFmtId="167" fontId="1" fillId="3" borderId="20" xfId="0" applyNumberFormat="1" applyFont="1" applyFill="1" applyBorder="1" applyAlignment="1">
      <alignment horizontal="center" vertical="center"/>
    </xf>
    <xf numFmtId="167" fontId="1" fillId="3" borderId="22" xfId="0" applyNumberFormat="1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wrapText="1"/>
    </xf>
    <xf numFmtId="0" fontId="1" fillId="3" borderId="11" xfId="0" applyFont="1" applyFill="1" applyBorder="1" applyAlignment="1">
      <alignment wrapText="1"/>
    </xf>
    <xf numFmtId="0" fontId="1" fillId="3" borderId="12" xfId="0" applyFont="1" applyFill="1" applyBorder="1" applyAlignment="1">
      <alignment wrapText="1"/>
    </xf>
    <xf numFmtId="0" fontId="1" fillId="3" borderId="17" xfId="0" applyFont="1" applyFill="1" applyBorder="1" applyAlignment="1">
      <alignment wrapText="1"/>
    </xf>
    <xf numFmtId="0" fontId="1" fillId="3" borderId="18" xfId="0" applyFont="1" applyFill="1" applyBorder="1" applyAlignment="1">
      <alignment wrapText="1"/>
    </xf>
    <xf numFmtId="0" fontId="1" fillId="3" borderId="19" xfId="0" applyFont="1" applyFill="1" applyBorder="1" applyAlignment="1">
      <alignment wrapText="1"/>
    </xf>
    <xf numFmtId="0" fontId="11" fillId="4" borderId="20" xfId="0" applyFont="1" applyFill="1" applyBorder="1" applyAlignment="1">
      <alignment horizontal="center" vertical="center"/>
    </xf>
    <xf numFmtId="0" fontId="11" fillId="4" borderId="22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/>
    <xf numFmtId="0" fontId="1" fillId="3" borderId="4" xfId="0" applyFont="1" applyFill="1" applyBorder="1"/>
    <xf numFmtId="0" fontId="1" fillId="3" borderId="0" xfId="0" applyFont="1" applyFill="1"/>
    <xf numFmtId="0" fontId="1" fillId="3" borderId="5" xfId="0" applyFont="1" applyFill="1" applyBorder="1"/>
    <xf numFmtId="164" fontId="5" fillId="3" borderId="6" xfId="0" applyNumberFormat="1" applyFont="1" applyFill="1" applyBorder="1"/>
    <xf numFmtId="0" fontId="1" fillId="3" borderId="7" xfId="0" applyFont="1" applyFill="1" applyBorder="1"/>
    <xf numFmtId="0" fontId="1" fillId="3" borderId="8" xfId="0" applyFont="1" applyFill="1" applyBorder="1"/>
    <xf numFmtId="165" fontId="5" fillId="3" borderId="6" xfId="0" applyNumberFormat="1" applyFont="1" applyFill="1" applyBorder="1"/>
    <xf numFmtId="0" fontId="3" fillId="4" borderId="10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4" fillId="3" borderId="15" xfId="0" applyFont="1" applyFill="1" applyBorder="1"/>
    <xf numFmtId="0" fontId="1" fillId="3" borderId="13" xfId="0" applyFont="1" applyFill="1" applyBorder="1"/>
    <xf numFmtId="164" fontId="5" fillId="3" borderId="16" xfId="0" applyNumberFormat="1" applyFont="1" applyFill="1" applyBorder="1"/>
  </cellXfs>
  <cellStyles count="1">
    <cellStyle name="Normal" xfId="0" builtinId="0"/>
  </cellStyles>
  <dxfs count="20">
    <dxf>
      <numFmt numFmtId="166" formatCode="&quot;$&quot;#,##0.00"/>
    </dxf>
    <dxf>
      <numFmt numFmtId="166" formatCode="&quot;$&quot;#,##0.0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&quot;$&quot;#,##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7" formatCode="mm/dd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right style="thin">
          <color indexed="64"/>
        </right>
      </border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[Bar_Automation_Portfolio_v1.xlsm]PIVOTS!ptSalesSummary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PIVOTS!$B$3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PIVOTS!$A$4:$A$17</c:f>
              <c:strCache>
                <c:ptCount val="14"/>
                <c:pt idx="0">
                  <c:v>11/9/2025</c:v>
                </c:pt>
                <c:pt idx="1">
                  <c:v>11/10/2025</c:v>
                </c:pt>
                <c:pt idx="2">
                  <c:v>11/11/2025</c:v>
                </c:pt>
                <c:pt idx="3">
                  <c:v>11/12/2025</c:v>
                </c:pt>
                <c:pt idx="4">
                  <c:v>11/13/2025</c:v>
                </c:pt>
                <c:pt idx="5">
                  <c:v>11/14/2025</c:v>
                </c:pt>
                <c:pt idx="6">
                  <c:v>11/15/2025</c:v>
                </c:pt>
                <c:pt idx="7">
                  <c:v>11/16/2025</c:v>
                </c:pt>
                <c:pt idx="8">
                  <c:v>11/17/2025</c:v>
                </c:pt>
                <c:pt idx="9">
                  <c:v>11/18/2025</c:v>
                </c:pt>
                <c:pt idx="10">
                  <c:v>11/19/2025</c:v>
                </c:pt>
                <c:pt idx="11">
                  <c:v>11/20/2025</c:v>
                </c:pt>
                <c:pt idx="12">
                  <c:v>11/21/2025</c:v>
                </c:pt>
                <c:pt idx="13">
                  <c:v>11/22/2025</c:v>
                </c:pt>
              </c:strCache>
            </c:strRef>
          </c:cat>
          <c:val>
            <c:numRef>
              <c:f>PIVOTS!$B$4:$B$17</c:f>
              <c:numCache>
                <c:formatCode>"$"#,##0</c:formatCode>
                <c:ptCount val="14"/>
                <c:pt idx="0">
                  <c:v>460</c:v>
                </c:pt>
                <c:pt idx="1">
                  <c:v>460</c:v>
                </c:pt>
                <c:pt idx="2">
                  <c:v>460</c:v>
                </c:pt>
                <c:pt idx="3">
                  <c:v>460</c:v>
                </c:pt>
                <c:pt idx="4">
                  <c:v>460</c:v>
                </c:pt>
                <c:pt idx="5">
                  <c:v>460</c:v>
                </c:pt>
                <c:pt idx="6">
                  <c:v>460</c:v>
                </c:pt>
                <c:pt idx="7">
                  <c:v>460</c:v>
                </c:pt>
                <c:pt idx="8">
                  <c:v>460</c:v>
                </c:pt>
                <c:pt idx="9">
                  <c:v>460</c:v>
                </c:pt>
                <c:pt idx="10">
                  <c:v>460</c:v>
                </c:pt>
                <c:pt idx="11">
                  <c:v>460</c:v>
                </c:pt>
                <c:pt idx="12">
                  <c:v>460</c:v>
                </c:pt>
                <c:pt idx="13">
                  <c:v>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C-419C-96CF-29047954F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7834512"/>
        <c:axId val="1837836912"/>
      </c:lineChart>
      <c:catAx>
        <c:axId val="1837834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37836912"/>
        <c:crosses val="autoZero"/>
        <c:auto val="1"/>
        <c:lblAlgn val="ctr"/>
        <c:lblOffset val="100"/>
        <c:noMultiLvlLbl val="0"/>
      </c:catAx>
      <c:valAx>
        <c:axId val="1837836912"/>
        <c:scaling>
          <c:orientation val="minMax"/>
        </c:scaling>
        <c:delete val="0"/>
        <c:axPos val="l"/>
        <c:majorGridlines/>
        <c:numFmt formatCode="&quot;$&quot;#,##0" sourceLinked="1"/>
        <c:majorTickMark val="out"/>
        <c:minorTickMark val="none"/>
        <c:tickLblPos val="nextTo"/>
        <c:crossAx val="1837834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[Bar_Automation_Portfolio_v1.xlsm]PIVOTS!ptCategoryMix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PIVOTS!$G$3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PIVOTS!$F$4:$F$5</c:f>
              <c:strCache>
                <c:ptCount val="2"/>
                <c:pt idx="0">
                  <c:v>Food</c:v>
                </c:pt>
                <c:pt idx="1">
                  <c:v>Liquor</c:v>
                </c:pt>
              </c:strCache>
            </c:strRef>
          </c:cat>
          <c:val>
            <c:numRef>
              <c:f>PIVOTS!$G$4:$G$5</c:f>
              <c:numCache>
                <c:formatCode>"$"#,##0</c:formatCode>
                <c:ptCount val="2"/>
                <c:pt idx="0">
                  <c:v>1680</c:v>
                </c:pt>
                <c:pt idx="1">
                  <c:v>4760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3D-409B-BACF-BD1CC71B3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PIVOTS!$P$2</c:f>
              <c:strCache>
                <c:ptCount val="1"/>
                <c:pt idx="0">
                  <c:v>ItemName</c:v>
                </c:pt>
              </c:strCache>
            </c:strRef>
          </c:tx>
          <c:invertIfNegative val="0"/>
          <c:val>
            <c:numRef>
              <c:f>PIVOTS!$P$3:$P$12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C1-4443-9B1B-F47F8FF416BE}"/>
            </c:ext>
          </c:extLst>
        </c:ser>
        <c:ser>
          <c:idx val="1"/>
          <c:order val="1"/>
          <c:tx>
            <c:strRef>
              <c:f>PIVOTS!$Q$2</c:f>
              <c:strCache>
                <c:ptCount val="1"/>
                <c:pt idx="0">
                  <c:v>ShrinkagePct</c:v>
                </c:pt>
              </c:strCache>
            </c:strRef>
          </c:tx>
          <c:invertIfNegative val="0"/>
          <c:val>
            <c:numRef>
              <c:f>PIVOTS!$Q$3:$Q$12</c:f>
              <c:numCache>
                <c:formatCode>0.0%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C1-4443-9B1B-F47F8FF41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37845072"/>
        <c:axId val="1837845552"/>
      </c:barChart>
      <c:catAx>
        <c:axId val="1837845072"/>
        <c:scaling>
          <c:orientation val="minMax"/>
        </c:scaling>
        <c:delete val="0"/>
        <c:axPos val="l"/>
        <c:majorTickMark val="out"/>
        <c:minorTickMark val="none"/>
        <c:tickLblPos val="nextTo"/>
        <c:crossAx val="1837845552"/>
        <c:crosses val="autoZero"/>
        <c:auto val="1"/>
        <c:lblAlgn val="ctr"/>
        <c:lblOffset val="100"/>
        <c:noMultiLvlLbl val="0"/>
      </c:catAx>
      <c:valAx>
        <c:axId val="183784555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8378450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[Bar_Automation_Portfolio_v1.xlsm]PIVOTS!ptBartenderSales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PIVOTS!$L$3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PIVOTS!$K$4:$K$5</c:f>
              <c:strCache>
                <c:ptCount val="2"/>
                <c:pt idx="0">
                  <c:v>Alex</c:v>
                </c:pt>
                <c:pt idx="1">
                  <c:v>Riley</c:v>
                </c:pt>
              </c:strCache>
            </c:strRef>
          </c:cat>
          <c:val>
            <c:numRef>
              <c:f>PIVOTS!$L$4:$L$5</c:f>
              <c:numCache>
                <c:formatCode>"$"#,##0</c:formatCode>
                <c:ptCount val="2"/>
                <c:pt idx="0">
                  <c:v>4200</c:v>
                </c:pt>
                <c:pt idx="1">
                  <c:v>2240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A-4A50-8717-83232374F9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37847952"/>
        <c:axId val="1837848912"/>
      </c:barChart>
      <c:catAx>
        <c:axId val="1837847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37848912"/>
        <c:crosses val="autoZero"/>
        <c:auto val="1"/>
        <c:lblAlgn val="ctr"/>
        <c:lblOffset val="100"/>
        <c:noMultiLvlLbl val="0"/>
      </c:catAx>
      <c:valAx>
        <c:axId val="1837848912"/>
        <c:scaling>
          <c:orientation val="minMax"/>
        </c:scaling>
        <c:delete val="0"/>
        <c:axPos val="l"/>
        <c:majorGridlines/>
        <c:numFmt formatCode="&quot;$&quot;#,##0" sourceLinked="1"/>
        <c:majorTickMark val="out"/>
        <c:minorTickMark val="none"/>
        <c:tickLblPos val="nextTo"/>
        <c:crossAx val="18378479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</xdr:row>
      <xdr:rowOff>127000</xdr:rowOff>
    </xdr:from>
    <xdr:to>
      <xdr:col>17</xdr:col>
      <xdr:colOff>1008380</xdr:colOff>
      <xdr:row>3</xdr:row>
      <xdr:rowOff>116840</xdr:rowOff>
    </xdr:to>
    <xdr:sp macro="Import_POS_CSV" textlink="">
      <xdr:nvSpPr>
        <xdr:cNvPr id="2" name="btnImportPOS">
          <a:extLst>
            <a:ext uri="{FF2B5EF4-FFF2-40B4-BE49-F238E27FC236}">
              <a16:creationId xmlns:a16="http://schemas.microsoft.com/office/drawing/2014/main" id="{90A83FBE-AB06-E39B-F6C8-C8810ABB960C}"/>
            </a:ext>
          </a:extLst>
        </xdr:cNvPr>
        <xdr:cNvSpPr/>
      </xdr:nvSpPr>
      <xdr:spPr>
        <a:xfrm>
          <a:off x="18409920" y="309880"/>
          <a:ext cx="2159000" cy="3556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FFFFFF"/>
              </a:solidFill>
            </a:rPr>
            <a:t>Import POS Data</a:t>
          </a:r>
        </a:p>
      </xdr:txBody>
    </xdr:sp>
    <xdr:clientData/>
  </xdr:twoCellAnchor>
  <xdr:twoCellAnchor>
    <xdr:from>
      <xdr:col>16</xdr:col>
      <xdr:colOff>0</xdr:colOff>
      <xdr:row>4</xdr:row>
      <xdr:rowOff>22860</xdr:rowOff>
    </xdr:from>
    <xdr:to>
      <xdr:col>17</xdr:col>
      <xdr:colOff>1008380</xdr:colOff>
      <xdr:row>6</xdr:row>
      <xdr:rowOff>12700</xdr:rowOff>
    </xdr:to>
    <xdr:sp macro="Import_Deliveries_CSV" textlink="">
      <xdr:nvSpPr>
        <xdr:cNvPr id="3" name="btnImportDeliv">
          <a:extLst>
            <a:ext uri="{FF2B5EF4-FFF2-40B4-BE49-F238E27FC236}">
              <a16:creationId xmlns:a16="http://schemas.microsoft.com/office/drawing/2014/main" id="{745A4DE7-5A5B-8D8C-1B55-B059C0CD5609}"/>
            </a:ext>
          </a:extLst>
        </xdr:cNvPr>
        <xdr:cNvSpPr/>
      </xdr:nvSpPr>
      <xdr:spPr>
        <a:xfrm>
          <a:off x="18409920" y="754380"/>
          <a:ext cx="2159000" cy="3556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FFFFFF"/>
              </a:solidFill>
            </a:rPr>
            <a:t>Import Deliveries</a:t>
          </a:r>
        </a:p>
      </xdr:txBody>
    </xdr:sp>
    <xdr:clientData/>
  </xdr:twoCellAnchor>
  <xdr:twoCellAnchor>
    <xdr:from>
      <xdr:col>16</xdr:col>
      <xdr:colOff>0</xdr:colOff>
      <xdr:row>6</xdr:row>
      <xdr:rowOff>101600</xdr:rowOff>
    </xdr:from>
    <xdr:to>
      <xdr:col>17</xdr:col>
      <xdr:colOff>1008380</xdr:colOff>
      <xdr:row>8</xdr:row>
      <xdr:rowOff>91440</xdr:rowOff>
    </xdr:to>
    <xdr:sp macro="Generate_SampleData_BarOps" textlink="">
      <xdr:nvSpPr>
        <xdr:cNvPr id="4" name="btnSampleData">
          <a:extLst>
            <a:ext uri="{FF2B5EF4-FFF2-40B4-BE49-F238E27FC236}">
              <a16:creationId xmlns:a16="http://schemas.microsoft.com/office/drawing/2014/main" id="{2FA81972-8AC5-3CB9-AB60-1A422695520E}"/>
            </a:ext>
          </a:extLst>
        </xdr:cNvPr>
        <xdr:cNvSpPr/>
      </xdr:nvSpPr>
      <xdr:spPr>
        <a:xfrm>
          <a:off x="18409920" y="1198880"/>
          <a:ext cx="2159000" cy="3556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FFFFFF"/>
              </a:solidFill>
            </a:rPr>
            <a:t>Generate Sample Data</a:t>
          </a:r>
        </a:p>
      </xdr:txBody>
    </xdr:sp>
    <xdr:clientData/>
  </xdr:twoCellAnchor>
  <xdr:twoCellAnchor>
    <xdr:from>
      <xdr:col>0</xdr:col>
      <xdr:colOff>0</xdr:colOff>
      <xdr:row>41</xdr:row>
      <xdr:rowOff>0</xdr:rowOff>
    </xdr:from>
    <xdr:to>
      <xdr:col>1</xdr:col>
      <xdr:colOff>373380</xdr:colOff>
      <xdr:row>42</xdr:row>
      <xdr:rowOff>172720</xdr:rowOff>
    </xdr:to>
    <xdr:sp macro="UpgradeB_NavClick" textlink="">
      <xdr:nvSpPr>
        <xdr:cNvPr id="24" name="navDashboard">
          <a:extLst>
            <a:ext uri="{FF2B5EF4-FFF2-40B4-BE49-F238E27FC236}">
              <a16:creationId xmlns:a16="http://schemas.microsoft.com/office/drawing/2014/main" id="{C9AD7B69-A6BA-D3CB-76AD-25E93CF862C0}"/>
            </a:ext>
          </a:extLst>
        </xdr:cNvPr>
        <xdr:cNvSpPr/>
      </xdr:nvSpPr>
      <xdr:spPr>
        <a:xfrm>
          <a:off x="0" y="7985760"/>
          <a:ext cx="1524000" cy="355600"/>
        </a:xfrm>
        <a:prstGeom prst="roundRect">
          <a:avLst>
            <a:gd name="adj" fmla="val 25000"/>
          </a:avLst>
        </a:prstGeom>
        <a:solidFill>
          <a:srgbClr val="1F4E79"/>
        </a:solidFill>
        <a:ln w="15875"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Dashboard</a:t>
          </a:r>
        </a:p>
      </xdr:txBody>
    </xdr:sp>
    <xdr:clientData/>
  </xdr:twoCellAnchor>
  <xdr:twoCellAnchor>
    <xdr:from>
      <xdr:col>1</xdr:col>
      <xdr:colOff>474980</xdr:colOff>
      <xdr:row>41</xdr:row>
      <xdr:rowOff>0</xdr:rowOff>
    </xdr:from>
    <xdr:to>
      <xdr:col>2</xdr:col>
      <xdr:colOff>848360</xdr:colOff>
      <xdr:row>42</xdr:row>
      <xdr:rowOff>172720</xdr:rowOff>
    </xdr:to>
    <xdr:sp macro="UpgradeB_NavClick" textlink="">
      <xdr:nvSpPr>
        <xdr:cNvPr id="25" name="navInventory">
          <a:extLst>
            <a:ext uri="{FF2B5EF4-FFF2-40B4-BE49-F238E27FC236}">
              <a16:creationId xmlns:a16="http://schemas.microsoft.com/office/drawing/2014/main" id="{18282992-1C8D-EBF4-C3CA-19BC5FBC3053}"/>
            </a:ext>
          </a:extLst>
        </xdr:cNvPr>
        <xdr:cNvSpPr/>
      </xdr:nvSpPr>
      <xdr:spPr>
        <a:xfrm>
          <a:off x="1625600" y="7985760"/>
          <a:ext cx="1524000" cy="355600"/>
        </a:xfrm>
        <a:prstGeom prst="roundRect">
          <a:avLst>
            <a:gd name="adj" fmla="val 25000"/>
          </a:avLst>
        </a:prstGeom>
        <a:solidFill>
          <a:srgbClr val="1F4E79"/>
        </a:solidFill>
        <a:ln w="15875"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Inventory</a:t>
          </a:r>
        </a:p>
      </xdr:txBody>
    </xdr:sp>
    <xdr:clientData/>
  </xdr:twoCellAnchor>
  <xdr:twoCellAnchor>
    <xdr:from>
      <xdr:col>2</xdr:col>
      <xdr:colOff>949960</xdr:colOff>
      <xdr:row>41</xdr:row>
      <xdr:rowOff>0</xdr:rowOff>
    </xdr:from>
    <xdr:to>
      <xdr:col>4</xdr:col>
      <xdr:colOff>172720</xdr:colOff>
      <xdr:row>42</xdr:row>
      <xdr:rowOff>172720</xdr:rowOff>
    </xdr:to>
    <xdr:sp macro="UpgradeB_NavClick" textlink="">
      <xdr:nvSpPr>
        <xdr:cNvPr id="26" name="navOrders">
          <a:extLst>
            <a:ext uri="{FF2B5EF4-FFF2-40B4-BE49-F238E27FC236}">
              <a16:creationId xmlns:a16="http://schemas.microsoft.com/office/drawing/2014/main" id="{61763CA3-84D3-EEBD-079A-E873A9447898}"/>
            </a:ext>
          </a:extLst>
        </xdr:cNvPr>
        <xdr:cNvSpPr/>
      </xdr:nvSpPr>
      <xdr:spPr>
        <a:xfrm>
          <a:off x="3251200" y="7985760"/>
          <a:ext cx="1524000" cy="355600"/>
        </a:xfrm>
        <a:prstGeom prst="roundRect">
          <a:avLst>
            <a:gd name="adj" fmla="val 25000"/>
          </a:avLst>
        </a:prstGeom>
        <a:solidFill>
          <a:srgbClr val="1F4E79"/>
        </a:solidFill>
        <a:ln w="15875"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Orders</a:t>
          </a:r>
        </a:p>
      </xdr:txBody>
    </xdr:sp>
    <xdr:clientData/>
  </xdr:twoCellAnchor>
  <xdr:twoCellAnchor>
    <xdr:from>
      <xdr:col>4</xdr:col>
      <xdr:colOff>274320</xdr:colOff>
      <xdr:row>41</xdr:row>
      <xdr:rowOff>0</xdr:rowOff>
    </xdr:from>
    <xdr:to>
      <xdr:col>5</xdr:col>
      <xdr:colOff>647700</xdr:colOff>
      <xdr:row>42</xdr:row>
      <xdr:rowOff>172720</xdr:rowOff>
    </xdr:to>
    <xdr:sp macro="UpgradeB_NavClick" textlink="">
      <xdr:nvSpPr>
        <xdr:cNvPr id="27" name="navSales">
          <a:extLst>
            <a:ext uri="{FF2B5EF4-FFF2-40B4-BE49-F238E27FC236}">
              <a16:creationId xmlns:a16="http://schemas.microsoft.com/office/drawing/2014/main" id="{29DB24D7-B517-5FEB-5CED-098BEF40EEA1}"/>
            </a:ext>
          </a:extLst>
        </xdr:cNvPr>
        <xdr:cNvSpPr/>
      </xdr:nvSpPr>
      <xdr:spPr>
        <a:xfrm>
          <a:off x="4876800" y="7985760"/>
          <a:ext cx="1524000" cy="355600"/>
        </a:xfrm>
        <a:prstGeom prst="roundRect">
          <a:avLst>
            <a:gd name="adj" fmla="val 25000"/>
          </a:avLst>
        </a:prstGeom>
        <a:solidFill>
          <a:srgbClr val="1F4E79"/>
        </a:solidFill>
        <a:ln w="15875"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POS / Sales</a:t>
          </a:r>
        </a:p>
      </xdr:txBody>
    </xdr:sp>
    <xdr:clientData/>
  </xdr:twoCellAnchor>
  <xdr:twoCellAnchor>
    <xdr:from>
      <xdr:col>5</xdr:col>
      <xdr:colOff>749300</xdr:colOff>
      <xdr:row>41</xdr:row>
      <xdr:rowOff>0</xdr:rowOff>
    </xdr:from>
    <xdr:to>
      <xdr:col>6</xdr:col>
      <xdr:colOff>1122680</xdr:colOff>
      <xdr:row>42</xdr:row>
      <xdr:rowOff>172720</xdr:rowOff>
    </xdr:to>
    <xdr:sp macro="UpgradeB_NavClick" textlink="">
      <xdr:nvSpPr>
        <xdr:cNvPr id="28" name="navLabor">
          <a:extLst>
            <a:ext uri="{FF2B5EF4-FFF2-40B4-BE49-F238E27FC236}">
              <a16:creationId xmlns:a16="http://schemas.microsoft.com/office/drawing/2014/main" id="{103CC657-7DE2-948A-317B-726019E4B54E}"/>
            </a:ext>
          </a:extLst>
        </xdr:cNvPr>
        <xdr:cNvSpPr/>
      </xdr:nvSpPr>
      <xdr:spPr>
        <a:xfrm>
          <a:off x="6502400" y="7985760"/>
          <a:ext cx="1524000" cy="355600"/>
        </a:xfrm>
        <a:prstGeom prst="roundRect">
          <a:avLst>
            <a:gd name="adj" fmla="val 25000"/>
          </a:avLst>
        </a:prstGeom>
        <a:solidFill>
          <a:srgbClr val="1F4E79"/>
        </a:solidFill>
        <a:ln w="15875"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Labor</a:t>
          </a:r>
        </a:p>
      </xdr:txBody>
    </xdr:sp>
    <xdr:clientData/>
  </xdr:twoCellAnchor>
  <xdr:twoCellAnchor>
    <xdr:from>
      <xdr:col>7</xdr:col>
      <xdr:colOff>73660</xdr:colOff>
      <xdr:row>41</xdr:row>
      <xdr:rowOff>0</xdr:rowOff>
    </xdr:from>
    <xdr:to>
      <xdr:col>8</xdr:col>
      <xdr:colOff>447040</xdr:colOff>
      <xdr:row>42</xdr:row>
      <xdr:rowOff>172720</xdr:rowOff>
    </xdr:to>
    <xdr:sp macro="UpgradeB_NavClick" textlink="">
      <xdr:nvSpPr>
        <xdr:cNvPr id="29" name="navRecipes">
          <a:extLst>
            <a:ext uri="{FF2B5EF4-FFF2-40B4-BE49-F238E27FC236}">
              <a16:creationId xmlns:a16="http://schemas.microsoft.com/office/drawing/2014/main" id="{0257970D-BB88-64CB-0141-8CEEAFBB900F}"/>
            </a:ext>
          </a:extLst>
        </xdr:cNvPr>
        <xdr:cNvSpPr/>
      </xdr:nvSpPr>
      <xdr:spPr>
        <a:xfrm>
          <a:off x="8128000" y="7985760"/>
          <a:ext cx="1524000" cy="355600"/>
        </a:xfrm>
        <a:prstGeom prst="roundRect">
          <a:avLst>
            <a:gd name="adj" fmla="val 25000"/>
          </a:avLst>
        </a:prstGeom>
        <a:solidFill>
          <a:srgbClr val="1F4E79"/>
        </a:solidFill>
        <a:ln w="15875"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Recipes</a:t>
          </a:r>
        </a:p>
      </xdr:txBody>
    </xdr:sp>
    <xdr:clientData/>
  </xdr:twoCellAnchor>
  <xdr:twoCellAnchor>
    <xdr:from>
      <xdr:col>8</xdr:col>
      <xdr:colOff>548640</xdr:colOff>
      <xdr:row>41</xdr:row>
      <xdr:rowOff>0</xdr:rowOff>
    </xdr:from>
    <xdr:to>
      <xdr:col>9</xdr:col>
      <xdr:colOff>922020</xdr:colOff>
      <xdr:row>42</xdr:row>
      <xdr:rowOff>172720</xdr:rowOff>
    </xdr:to>
    <xdr:sp macro="UpgradeB_NavClick" textlink="">
      <xdr:nvSpPr>
        <xdr:cNvPr id="30" name="navSettings">
          <a:extLst>
            <a:ext uri="{FF2B5EF4-FFF2-40B4-BE49-F238E27FC236}">
              <a16:creationId xmlns:a16="http://schemas.microsoft.com/office/drawing/2014/main" id="{8171ECD6-046E-E58F-8F09-100E5927B527}"/>
            </a:ext>
          </a:extLst>
        </xdr:cNvPr>
        <xdr:cNvSpPr/>
      </xdr:nvSpPr>
      <xdr:spPr>
        <a:xfrm>
          <a:off x="9753600" y="7985760"/>
          <a:ext cx="1524000" cy="355600"/>
        </a:xfrm>
        <a:prstGeom prst="roundRect">
          <a:avLst>
            <a:gd name="adj" fmla="val 25000"/>
          </a:avLst>
        </a:prstGeom>
        <a:solidFill>
          <a:srgbClr val="1F4E79"/>
        </a:solidFill>
        <a:ln w="15875"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Settings</a:t>
          </a:r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4</xdr:col>
      <xdr:colOff>477520</xdr:colOff>
      <xdr:row>23</xdr:row>
      <xdr:rowOff>50800</xdr:rowOff>
    </xdr:to>
    <xdr:graphicFrame macro="">
      <xdr:nvGraphicFramePr>
        <xdr:cNvPr id="56" name="chtSalesTrend">
          <a:extLst>
            <a:ext uri="{FF2B5EF4-FFF2-40B4-BE49-F238E27FC236}">
              <a16:creationId xmlns:a16="http://schemas.microsoft.com/office/drawing/2014/main" id="{3B114A90-C985-40D4-3C85-F96582B4FE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8</xdr:row>
      <xdr:rowOff>0</xdr:rowOff>
    </xdr:from>
    <xdr:to>
      <xdr:col>10</xdr:col>
      <xdr:colOff>993140</xdr:colOff>
      <xdr:row>23</xdr:row>
      <xdr:rowOff>50800</xdr:rowOff>
    </xdr:to>
    <xdr:graphicFrame macro="">
      <xdr:nvGraphicFramePr>
        <xdr:cNvPr id="57" name="chtCategoryMix">
          <a:extLst>
            <a:ext uri="{FF2B5EF4-FFF2-40B4-BE49-F238E27FC236}">
              <a16:creationId xmlns:a16="http://schemas.microsoft.com/office/drawing/2014/main" id="{DCD7CE6A-6BC6-9F0B-5D7F-DDFC6EC585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22</xdr:row>
      <xdr:rowOff>0</xdr:rowOff>
    </xdr:from>
    <xdr:to>
      <xdr:col>4</xdr:col>
      <xdr:colOff>477520</xdr:colOff>
      <xdr:row>37</xdr:row>
      <xdr:rowOff>50800</xdr:rowOff>
    </xdr:to>
    <xdr:graphicFrame macro="">
      <xdr:nvGraphicFramePr>
        <xdr:cNvPr id="58" name="chtShrinkageTop">
          <a:extLst>
            <a:ext uri="{FF2B5EF4-FFF2-40B4-BE49-F238E27FC236}">
              <a16:creationId xmlns:a16="http://schemas.microsoft.com/office/drawing/2014/main" id="{B02D5D02-9AC5-FEB5-65BB-049A4E07B7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23</xdr:row>
      <xdr:rowOff>60960</xdr:rowOff>
    </xdr:from>
    <xdr:to>
      <xdr:col>10</xdr:col>
      <xdr:colOff>993140</xdr:colOff>
      <xdr:row>38</xdr:row>
      <xdr:rowOff>111760</xdr:rowOff>
    </xdr:to>
    <xdr:graphicFrame macro="">
      <xdr:nvGraphicFramePr>
        <xdr:cNvPr id="59" name="chtBartenderSales">
          <a:extLst>
            <a:ext uri="{FF2B5EF4-FFF2-40B4-BE49-F238E27FC236}">
              <a16:creationId xmlns:a16="http://schemas.microsoft.com/office/drawing/2014/main" id="{A4B6D3B5-39D5-CF1D-046B-EB5D354A87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144780</xdr:colOff>
      <xdr:row>10</xdr:row>
      <xdr:rowOff>38100</xdr:rowOff>
    </xdr:from>
    <xdr:to>
      <xdr:col>10</xdr:col>
      <xdr:colOff>772160</xdr:colOff>
      <xdr:row>11</xdr:row>
      <xdr:rowOff>165100</xdr:rowOff>
    </xdr:to>
    <xdr:sp macro="[0]!Orders_AddItem" textlink="">
      <xdr:nvSpPr>
        <xdr:cNvPr id="2" name="btnAddLine">
          <a:extLst>
            <a:ext uri="{FF2B5EF4-FFF2-40B4-BE49-F238E27FC236}">
              <a16:creationId xmlns:a16="http://schemas.microsoft.com/office/drawing/2014/main" id="{C273457C-97AB-11D3-1971-F3D7EFFEB073}"/>
            </a:ext>
          </a:extLst>
        </xdr:cNvPr>
        <xdr:cNvSpPr/>
      </xdr:nvSpPr>
      <xdr:spPr>
        <a:xfrm>
          <a:off x="8907780" y="3086100"/>
          <a:ext cx="1778000" cy="3556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Add To Order</a:t>
          </a:r>
        </a:p>
      </xdr:txBody>
    </xdr:sp>
    <xdr:clientData/>
  </xdr:twoCellAnchor>
  <xdr:twoCellAnchor>
    <xdr:from>
      <xdr:col>9</xdr:col>
      <xdr:colOff>91440</xdr:colOff>
      <xdr:row>18</xdr:row>
      <xdr:rowOff>167640</xdr:rowOff>
    </xdr:from>
    <xdr:to>
      <xdr:col>10</xdr:col>
      <xdr:colOff>718820</xdr:colOff>
      <xdr:row>20</xdr:row>
      <xdr:rowOff>66040</xdr:rowOff>
    </xdr:to>
    <xdr:sp macro="[0]!Orders_ExportPO_PDF" textlink="">
      <xdr:nvSpPr>
        <xdr:cNvPr id="3" name="btnExportPO">
          <a:extLst>
            <a:ext uri="{FF2B5EF4-FFF2-40B4-BE49-F238E27FC236}">
              <a16:creationId xmlns:a16="http://schemas.microsoft.com/office/drawing/2014/main" id="{A1B434D9-9BA4-294A-858E-FB088594AD22}"/>
            </a:ext>
          </a:extLst>
        </xdr:cNvPr>
        <xdr:cNvSpPr/>
      </xdr:nvSpPr>
      <xdr:spPr>
        <a:xfrm>
          <a:off x="8854440" y="5044440"/>
          <a:ext cx="1778000" cy="3556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Export PO PDF</a:t>
          </a:r>
        </a:p>
      </xdr:txBody>
    </xdr:sp>
    <xdr:clientData/>
  </xdr:twoCellAnchor>
  <xdr:twoCellAnchor>
    <xdr:from>
      <xdr:col>9</xdr:col>
      <xdr:colOff>121920</xdr:colOff>
      <xdr:row>22</xdr:row>
      <xdr:rowOff>198120</xdr:rowOff>
    </xdr:from>
    <xdr:to>
      <xdr:col>10</xdr:col>
      <xdr:colOff>749300</xdr:colOff>
      <xdr:row>24</xdr:row>
      <xdr:rowOff>96520</xdr:rowOff>
    </xdr:to>
    <xdr:sp macro="[0]!Orders_ClearOrder" textlink="">
      <xdr:nvSpPr>
        <xdr:cNvPr id="4" name="btnClearPO">
          <a:extLst>
            <a:ext uri="{FF2B5EF4-FFF2-40B4-BE49-F238E27FC236}">
              <a16:creationId xmlns:a16="http://schemas.microsoft.com/office/drawing/2014/main" id="{2BAF1030-8188-2A5F-B9C9-C5488037F56F}"/>
            </a:ext>
          </a:extLst>
        </xdr:cNvPr>
        <xdr:cNvSpPr/>
      </xdr:nvSpPr>
      <xdr:spPr>
        <a:xfrm>
          <a:off x="9227820" y="6012180"/>
          <a:ext cx="1778000" cy="355600"/>
        </a:xfrm>
        <a:prstGeom prst="roundRect">
          <a:avLst/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Clear Order</a:t>
          </a:r>
        </a:p>
      </xdr:txBody>
    </xdr:sp>
    <xdr:clientData/>
  </xdr:twoCellAnchor>
  <xdr:twoCellAnchor editAs="oneCell">
    <xdr:from>
      <xdr:col>4</xdr:col>
      <xdr:colOff>0</xdr:colOff>
      <xdr:row>4</xdr:row>
      <xdr:rowOff>0</xdr:rowOff>
    </xdr:from>
    <xdr:to>
      <xdr:col>4</xdr:col>
      <xdr:colOff>259080</xdr:colOff>
      <xdr:row>5</xdr:row>
      <xdr:rowOff>7620</xdr:rowOff>
    </xdr:to>
    <xdr:pic macro="[0]!ORDER_ShowOrderDateCalendar">
      <xdr:nvPicPr>
        <xdr:cNvPr id="6" name="Graphic 5" descr="Daily calendar outline">
          <a:extLst>
            <a:ext uri="{FF2B5EF4-FFF2-40B4-BE49-F238E27FC236}">
              <a16:creationId xmlns:a16="http://schemas.microsoft.com/office/drawing/2014/main" id="{689FFD0B-BF1A-FE2F-FFB6-FF0C3E8B40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75760" y="1219200"/>
          <a:ext cx="259080" cy="236220"/>
        </a:xfrm>
        <a:prstGeom prst="rect">
          <a:avLst/>
        </a:prstGeom>
      </xdr:spPr>
    </xdr:pic>
    <xdr:clientData/>
  </xdr:twoCellAnchor>
  <xdr:twoCellAnchor>
    <xdr:from>
      <xdr:col>0</xdr:col>
      <xdr:colOff>312420</xdr:colOff>
      <xdr:row>2</xdr:row>
      <xdr:rowOff>22860</xdr:rowOff>
    </xdr:from>
    <xdr:to>
      <xdr:col>1</xdr:col>
      <xdr:colOff>1135380</xdr:colOff>
      <xdr:row>3</xdr:row>
      <xdr:rowOff>15240</xdr:rowOff>
    </xdr:to>
    <xdr:sp macro="[0]!Orders_NewOrder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71D4D37B-B187-B488-92A2-22CC24A20257}"/>
            </a:ext>
          </a:extLst>
        </xdr:cNvPr>
        <xdr:cNvSpPr/>
      </xdr:nvSpPr>
      <xdr:spPr>
        <a:xfrm>
          <a:off x="312420" y="784860"/>
          <a:ext cx="1409700" cy="2209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New</a:t>
          </a:r>
          <a:r>
            <a:rPr lang="en-US" sz="1200" baseline="0"/>
            <a:t> Order</a:t>
          </a:r>
          <a:endParaRPr lang="en-US" sz="1200"/>
        </a:p>
      </xdr:txBody>
    </xdr:sp>
    <xdr:clientData/>
  </xdr:twoCellAnchor>
  <xdr:twoCellAnchor>
    <xdr:from>
      <xdr:col>9</xdr:col>
      <xdr:colOff>106680</xdr:colOff>
      <xdr:row>13</xdr:row>
      <xdr:rowOff>205740</xdr:rowOff>
    </xdr:from>
    <xdr:to>
      <xdr:col>10</xdr:col>
      <xdr:colOff>685800</xdr:colOff>
      <xdr:row>15</xdr:row>
      <xdr:rowOff>76200</xdr:rowOff>
    </xdr:to>
    <xdr:sp macro="[0]!Orders_SaveToHistory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45EA909F-8512-36E9-89CE-946C93622873}"/>
            </a:ext>
          </a:extLst>
        </xdr:cNvPr>
        <xdr:cNvSpPr/>
      </xdr:nvSpPr>
      <xdr:spPr>
        <a:xfrm>
          <a:off x="9212580" y="3939540"/>
          <a:ext cx="1729740" cy="35052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Save Order</a:t>
          </a:r>
        </a:p>
      </xdr:txBody>
    </xdr:sp>
    <xdr:clientData/>
  </xdr:twoCellAnchor>
  <xdr:twoCellAnchor>
    <xdr:from>
      <xdr:col>8</xdr:col>
      <xdr:colOff>998220</xdr:colOff>
      <xdr:row>53</xdr:row>
      <xdr:rowOff>205740</xdr:rowOff>
    </xdr:from>
    <xdr:to>
      <xdr:col>10</xdr:col>
      <xdr:colOff>601980</xdr:colOff>
      <xdr:row>55</xdr:row>
      <xdr:rowOff>30480</xdr:rowOff>
    </xdr:to>
    <xdr:sp macro="[0]!Orders_ClearOrderHistory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711D1BF-DDC5-4AB9-7EAF-CBEB227CC9D4}"/>
            </a:ext>
          </a:extLst>
        </xdr:cNvPr>
        <xdr:cNvSpPr/>
      </xdr:nvSpPr>
      <xdr:spPr>
        <a:xfrm>
          <a:off x="9090660" y="13106400"/>
          <a:ext cx="1767840" cy="28194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Delete Order History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yce Armeni" refreshedDate="45983.881879166664" createdVersion="3" refreshedVersion="8" minRefreshableVersion="3" recordCount="42" xr:uid="{176A2BF4-0CA0-4B84-A1F6-CA28673CCD02}">
  <cacheSource type="worksheet">
    <worksheetSource ref="A1:N43" sheet="DATA_SALES"/>
  </cacheSource>
  <cacheFields count="14">
    <cacheField name="SaleDate" numFmtId="14">
      <sharedItems containsSemiMixedTypes="0" containsNonDate="0" containsDate="1" containsString="0" minDate="2025-11-09T00:00:00" maxDate="2025-11-23T00:00:00" count="14">
        <d v="2025-11-09T00:00:00"/>
        <d v="2025-11-10T00:00:00"/>
        <d v="2025-11-11T00:00:00"/>
        <d v="2025-11-12T00:00:00"/>
        <d v="2025-11-13T00:00:00"/>
        <d v="2025-11-14T00:00:00"/>
        <d v="2025-11-15T00:00:00"/>
        <d v="2025-11-16T00:00:00"/>
        <d v="2025-11-17T00:00:00"/>
        <d v="2025-11-18T00:00:00"/>
        <d v="2025-11-19T00:00:00"/>
        <d v="2025-11-20T00:00:00"/>
        <d v="2025-11-21T00:00:00"/>
        <d v="2025-11-22T00:00:00"/>
      </sharedItems>
    </cacheField>
    <cacheField name="Shift" numFmtId="0">
      <sharedItems/>
    </cacheField>
    <cacheField name="OrderID" numFmtId="0">
      <sharedItems/>
    </cacheField>
    <cacheField name="ItemID" numFmtId="0">
      <sharedItems/>
    </cacheField>
    <cacheField name="ItemName" numFmtId="0">
      <sharedItems/>
    </cacheField>
    <cacheField name="Category" numFmtId="0">
      <sharedItems count="2">
        <s v="Liquor"/>
        <s v="Food"/>
      </sharedItems>
    </cacheField>
    <cacheField name="Qty" numFmtId="0">
      <sharedItems containsSemiMixedTypes="0" containsString="0" containsNumber="1" containsInteger="1" minValue="8" maxValue="12"/>
    </cacheField>
    <cacheField name="GrossSales" numFmtId="0">
      <sharedItems containsSemiMixedTypes="0" containsString="0" containsNumber="1" containsInteger="1" minValue="120" maxValue="180"/>
    </cacheField>
    <cacheField name="Discount" numFmtId="0">
      <sharedItems containsSemiMixedTypes="0" containsString="0" containsNumber="1" containsInteger="1" minValue="0" maxValue="0"/>
    </cacheField>
    <cacheField name="NetSales" numFmtId="0">
      <sharedItems containsSemiMixedTypes="0" containsString="0" containsNumber="1" containsInteger="1" minValue="120" maxValue="180"/>
    </cacheField>
    <cacheField name="Tax" numFmtId="0">
      <sharedItems containsSemiMixedTypes="0" containsString="0" containsNumber="1" minValue="9.9" maxValue="14.85"/>
    </cacheField>
    <cacheField name="Tip" numFmtId="0">
      <sharedItems containsSemiMixedTypes="0" containsString="0" containsNumber="1" containsInteger="1" minValue="0" maxValue="40"/>
    </cacheField>
    <cacheField name="TenderType" numFmtId="0">
      <sharedItems/>
    </cacheField>
    <cacheField name="Bartender" numFmtId="0">
      <sharedItems count="2">
        <s v="Alex"/>
        <s v="Rile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x v="0"/>
    <s v="PM"/>
    <s v="ORD0011"/>
    <s v="L001"/>
    <s v="Vodka 1L"/>
    <x v="0"/>
    <n v="12"/>
    <n v="180"/>
    <n v="0"/>
    <n v="180"/>
    <n v="14.85"/>
    <n v="40"/>
    <s v="Card"/>
    <x v="0"/>
  </r>
  <r>
    <x v="0"/>
    <s v="PM"/>
    <s v="ORD0511"/>
    <s v="L002"/>
    <s v="Tequila 750ml"/>
    <x v="0"/>
    <n v="8"/>
    <n v="160"/>
    <n v="0"/>
    <n v="160"/>
    <n v="13.2"/>
    <n v="30"/>
    <s v="Card"/>
    <x v="1"/>
  </r>
  <r>
    <x v="0"/>
    <s v="PM"/>
    <s v="ORD0811"/>
    <s v="F001"/>
    <s v="Wings Basket"/>
    <x v="1"/>
    <n v="10"/>
    <n v="120"/>
    <n v="0"/>
    <n v="120"/>
    <n v="9.9"/>
    <n v="0"/>
    <s v="Cash"/>
    <x v="0"/>
  </r>
  <r>
    <x v="1"/>
    <s v="PM"/>
    <s v="ORD0021"/>
    <s v="L001"/>
    <s v="Vodka 1L"/>
    <x v="0"/>
    <n v="12"/>
    <n v="180"/>
    <n v="0"/>
    <n v="180"/>
    <n v="14.85"/>
    <n v="40"/>
    <s v="Card"/>
    <x v="0"/>
  </r>
  <r>
    <x v="1"/>
    <s v="PM"/>
    <s v="ORD0521"/>
    <s v="L002"/>
    <s v="Tequila 750ml"/>
    <x v="0"/>
    <n v="8"/>
    <n v="160"/>
    <n v="0"/>
    <n v="160"/>
    <n v="13.2"/>
    <n v="30"/>
    <s v="Card"/>
    <x v="1"/>
  </r>
  <r>
    <x v="1"/>
    <s v="PM"/>
    <s v="ORD0821"/>
    <s v="F001"/>
    <s v="Wings Basket"/>
    <x v="1"/>
    <n v="10"/>
    <n v="120"/>
    <n v="0"/>
    <n v="120"/>
    <n v="9.9"/>
    <n v="0"/>
    <s v="Cash"/>
    <x v="0"/>
  </r>
  <r>
    <x v="2"/>
    <s v="PM"/>
    <s v="ORD0031"/>
    <s v="L001"/>
    <s v="Vodka 1L"/>
    <x v="0"/>
    <n v="12"/>
    <n v="180"/>
    <n v="0"/>
    <n v="180"/>
    <n v="14.85"/>
    <n v="40"/>
    <s v="Card"/>
    <x v="0"/>
  </r>
  <r>
    <x v="2"/>
    <s v="PM"/>
    <s v="ORD0531"/>
    <s v="L002"/>
    <s v="Tequila 750ml"/>
    <x v="0"/>
    <n v="8"/>
    <n v="160"/>
    <n v="0"/>
    <n v="160"/>
    <n v="13.2"/>
    <n v="30"/>
    <s v="Card"/>
    <x v="1"/>
  </r>
  <r>
    <x v="2"/>
    <s v="PM"/>
    <s v="ORD0831"/>
    <s v="F001"/>
    <s v="Wings Basket"/>
    <x v="1"/>
    <n v="10"/>
    <n v="120"/>
    <n v="0"/>
    <n v="120"/>
    <n v="9.9"/>
    <n v="0"/>
    <s v="Cash"/>
    <x v="0"/>
  </r>
  <r>
    <x v="3"/>
    <s v="PM"/>
    <s v="ORD0041"/>
    <s v="L001"/>
    <s v="Vodka 1L"/>
    <x v="0"/>
    <n v="12"/>
    <n v="180"/>
    <n v="0"/>
    <n v="180"/>
    <n v="14.85"/>
    <n v="40"/>
    <s v="Card"/>
    <x v="0"/>
  </r>
  <r>
    <x v="3"/>
    <s v="PM"/>
    <s v="ORD0541"/>
    <s v="L002"/>
    <s v="Tequila 750ml"/>
    <x v="0"/>
    <n v="8"/>
    <n v="160"/>
    <n v="0"/>
    <n v="160"/>
    <n v="13.2"/>
    <n v="30"/>
    <s v="Card"/>
    <x v="1"/>
  </r>
  <r>
    <x v="3"/>
    <s v="PM"/>
    <s v="ORD0841"/>
    <s v="F001"/>
    <s v="Wings Basket"/>
    <x v="1"/>
    <n v="10"/>
    <n v="120"/>
    <n v="0"/>
    <n v="120"/>
    <n v="9.9"/>
    <n v="0"/>
    <s v="Cash"/>
    <x v="0"/>
  </r>
  <r>
    <x v="4"/>
    <s v="PM"/>
    <s v="ORD0051"/>
    <s v="L001"/>
    <s v="Vodka 1L"/>
    <x v="0"/>
    <n v="12"/>
    <n v="180"/>
    <n v="0"/>
    <n v="180"/>
    <n v="14.85"/>
    <n v="40"/>
    <s v="Card"/>
    <x v="0"/>
  </r>
  <r>
    <x v="4"/>
    <s v="PM"/>
    <s v="ORD0551"/>
    <s v="L002"/>
    <s v="Tequila 750ml"/>
    <x v="0"/>
    <n v="8"/>
    <n v="160"/>
    <n v="0"/>
    <n v="160"/>
    <n v="13.2"/>
    <n v="30"/>
    <s v="Card"/>
    <x v="1"/>
  </r>
  <r>
    <x v="4"/>
    <s v="PM"/>
    <s v="ORD0851"/>
    <s v="F001"/>
    <s v="Wings Basket"/>
    <x v="1"/>
    <n v="10"/>
    <n v="120"/>
    <n v="0"/>
    <n v="120"/>
    <n v="9.9"/>
    <n v="0"/>
    <s v="Cash"/>
    <x v="0"/>
  </r>
  <r>
    <x v="5"/>
    <s v="PM"/>
    <s v="ORD0061"/>
    <s v="L001"/>
    <s v="Vodka 1L"/>
    <x v="0"/>
    <n v="12"/>
    <n v="180"/>
    <n v="0"/>
    <n v="180"/>
    <n v="14.85"/>
    <n v="40"/>
    <s v="Card"/>
    <x v="0"/>
  </r>
  <r>
    <x v="5"/>
    <s v="PM"/>
    <s v="ORD0561"/>
    <s v="L002"/>
    <s v="Tequila 750ml"/>
    <x v="0"/>
    <n v="8"/>
    <n v="160"/>
    <n v="0"/>
    <n v="160"/>
    <n v="13.2"/>
    <n v="30"/>
    <s v="Card"/>
    <x v="1"/>
  </r>
  <r>
    <x v="5"/>
    <s v="PM"/>
    <s v="ORD0861"/>
    <s v="F001"/>
    <s v="Wings Basket"/>
    <x v="1"/>
    <n v="10"/>
    <n v="120"/>
    <n v="0"/>
    <n v="120"/>
    <n v="9.9"/>
    <n v="0"/>
    <s v="Cash"/>
    <x v="0"/>
  </r>
  <r>
    <x v="6"/>
    <s v="PM"/>
    <s v="ORD0071"/>
    <s v="L001"/>
    <s v="Vodka 1L"/>
    <x v="0"/>
    <n v="12"/>
    <n v="180"/>
    <n v="0"/>
    <n v="180"/>
    <n v="14.85"/>
    <n v="40"/>
    <s v="Card"/>
    <x v="0"/>
  </r>
  <r>
    <x v="6"/>
    <s v="PM"/>
    <s v="ORD0571"/>
    <s v="L002"/>
    <s v="Tequila 750ml"/>
    <x v="0"/>
    <n v="8"/>
    <n v="160"/>
    <n v="0"/>
    <n v="160"/>
    <n v="13.2"/>
    <n v="30"/>
    <s v="Card"/>
    <x v="1"/>
  </r>
  <r>
    <x v="6"/>
    <s v="PM"/>
    <s v="ORD0871"/>
    <s v="F001"/>
    <s v="Wings Basket"/>
    <x v="1"/>
    <n v="10"/>
    <n v="120"/>
    <n v="0"/>
    <n v="120"/>
    <n v="9.9"/>
    <n v="0"/>
    <s v="Cash"/>
    <x v="0"/>
  </r>
  <r>
    <x v="7"/>
    <s v="PM"/>
    <s v="ORD0081"/>
    <s v="L001"/>
    <s v="Vodka 1L"/>
    <x v="0"/>
    <n v="12"/>
    <n v="180"/>
    <n v="0"/>
    <n v="180"/>
    <n v="14.85"/>
    <n v="40"/>
    <s v="Card"/>
    <x v="0"/>
  </r>
  <r>
    <x v="7"/>
    <s v="PM"/>
    <s v="ORD0581"/>
    <s v="L002"/>
    <s v="Tequila 750ml"/>
    <x v="0"/>
    <n v="8"/>
    <n v="160"/>
    <n v="0"/>
    <n v="160"/>
    <n v="13.2"/>
    <n v="30"/>
    <s v="Card"/>
    <x v="1"/>
  </r>
  <r>
    <x v="7"/>
    <s v="PM"/>
    <s v="ORD0881"/>
    <s v="F001"/>
    <s v="Wings Basket"/>
    <x v="1"/>
    <n v="10"/>
    <n v="120"/>
    <n v="0"/>
    <n v="120"/>
    <n v="9.9"/>
    <n v="0"/>
    <s v="Cash"/>
    <x v="0"/>
  </r>
  <r>
    <x v="8"/>
    <s v="PM"/>
    <s v="ORD0091"/>
    <s v="L001"/>
    <s v="Vodka 1L"/>
    <x v="0"/>
    <n v="12"/>
    <n v="180"/>
    <n v="0"/>
    <n v="180"/>
    <n v="14.85"/>
    <n v="40"/>
    <s v="Card"/>
    <x v="0"/>
  </r>
  <r>
    <x v="8"/>
    <s v="PM"/>
    <s v="ORD0591"/>
    <s v="L002"/>
    <s v="Tequila 750ml"/>
    <x v="0"/>
    <n v="8"/>
    <n v="160"/>
    <n v="0"/>
    <n v="160"/>
    <n v="13.2"/>
    <n v="30"/>
    <s v="Card"/>
    <x v="1"/>
  </r>
  <r>
    <x v="8"/>
    <s v="PM"/>
    <s v="ORD0891"/>
    <s v="F001"/>
    <s v="Wings Basket"/>
    <x v="1"/>
    <n v="10"/>
    <n v="120"/>
    <n v="0"/>
    <n v="120"/>
    <n v="9.9"/>
    <n v="0"/>
    <s v="Cash"/>
    <x v="0"/>
  </r>
  <r>
    <x v="9"/>
    <s v="PM"/>
    <s v="ORD0101"/>
    <s v="L001"/>
    <s v="Vodka 1L"/>
    <x v="0"/>
    <n v="12"/>
    <n v="180"/>
    <n v="0"/>
    <n v="180"/>
    <n v="14.85"/>
    <n v="40"/>
    <s v="Card"/>
    <x v="0"/>
  </r>
  <r>
    <x v="9"/>
    <s v="PM"/>
    <s v="ORD0601"/>
    <s v="L002"/>
    <s v="Tequila 750ml"/>
    <x v="0"/>
    <n v="8"/>
    <n v="160"/>
    <n v="0"/>
    <n v="160"/>
    <n v="13.2"/>
    <n v="30"/>
    <s v="Card"/>
    <x v="1"/>
  </r>
  <r>
    <x v="9"/>
    <s v="PM"/>
    <s v="ORD0901"/>
    <s v="F001"/>
    <s v="Wings Basket"/>
    <x v="1"/>
    <n v="10"/>
    <n v="120"/>
    <n v="0"/>
    <n v="120"/>
    <n v="9.9"/>
    <n v="0"/>
    <s v="Cash"/>
    <x v="0"/>
  </r>
  <r>
    <x v="10"/>
    <s v="PM"/>
    <s v="ORD0111"/>
    <s v="L001"/>
    <s v="Vodka 1L"/>
    <x v="0"/>
    <n v="12"/>
    <n v="180"/>
    <n v="0"/>
    <n v="180"/>
    <n v="14.85"/>
    <n v="40"/>
    <s v="Card"/>
    <x v="0"/>
  </r>
  <r>
    <x v="10"/>
    <s v="PM"/>
    <s v="ORD0611"/>
    <s v="L002"/>
    <s v="Tequila 750ml"/>
    <x v="0"/>
    <n v="8"/>
    <n v="160"/>
    <n v="0"/>
    <n v="160"/>
    <n v="13.2"/>
    <n v="30"/>
    <s v="Card"/>
    <x v="1"/>
  </r>
  <r>
    <x v="10"/>
    <s v="PM"/>
    <s v="ORD0911"/>
    <s v="F001"/>
    <s v="Wings Basket"/>
    <x v="1"/>
    <n v="10"/>
    <n v="120"/>
    <n v="0"/>
    <n v="120"/>
    <n v="9.9"/>
    <n v="0"/>
    <s v="Cash"/>
    <x v="0"/>
  </r>
  <r>
    <x v="11"/>
    <s v="PM"/>
    <s v="ORD0121"/>
    <s v="L001"/>
    <s v="Vodka 1L"/>
    <x v="0"/>
    <n v="12"/>
    <n v="180"/>
    <n v="0"/>
    <n v="180"/>
    <n v="14.85"/>
    <n v="40"/>
    <s v="Card"/>
    <x v="0"/>
  </r>
  <r>
    <x v="11"/>
    <s v="PM"/>
    <s v="ORD0621"/>
    <s v="L002"/>
    <s v="Tequila 750ml"/>
    <x v="0"/>
    <n v="8"/>
    <n v="160"/>
    <n v="0"/>
    <n v="160"/>
    <n v="13.2"/>
    <n v="30"/>
    <s v="Card"/>
    <x v="1"/>
  </r>
  <r>
    <x v="11"/>
    <s v="PM"/>
    <s v="ORD0921"/>
    <s v="F001"/>
    <s v="Wings Basket"/>
    <x v="1"/>
    <n v="10"/>
    <n v="120"/>
    <n v="0"/>
    <n v="120"/>
    <n v="9.9"/>
    <n v="0"/>
    <s v="Cash"/>
    <x v="0"/>
  </r>
  <r>
    <x v="12"/>
    <s v="PM"/>
    <s v="ORD0131"/>
    <s v="L001"/>
    <s v="Vodka 1L"/>
    <x v="0"/>
    <n v="12"/>
    <n v="180"/>
    <n v="0"/>
    <n v="180"/>
    <n v="14.85"/>
    <n v="40"/>
    <s v="Card"/>
    <x v="0"/>
  </r>
  <r>
    <x v="12"/>
    <s v="PM"/>
    <s v="ORD0631"/>
    <s v="L002"/>
    <s v="Tequila 750ml"/>
    <x v="0"/>
    <n v="8"/>
    <n v="160"/>
    <n v="0"/>
    <n v="160"/>
    <n v="13.2"/>
    <n v="30"/>
    <s v="Card"/>
    <x v="1"/>
  </r>
  <r>
    <x v="12"/>
    <s v="PM"/>
    <s v="ORD0931"/>
    <s v="F001"/>
    <s v="Wings Basket"/>
    <x v="1"/>
    <n v="10"/>
    <n v="120"/>
    <n v="0"/>
    <n v="120"/>
    <n v="9.9"/>
    <n v="0"/>
    <s v="Cash"/>
    <x v="0"/>
  </r>
  <r>
    <x v="13"/>
    <s v="PM"/>
    <s v="ORD0141"/>
    <s v="L001"/>
    <s v="Vodka 1L"/>
    <x v="0"/>
    <n v="12"/>
    <n v="180"/>
    <n v="0"/>
    <n v="180"/>
    <n v="14.85"/>
    <n v="40"/>
    <s v="Card"/>
    <x v="0"/>
  </r>
  <r>
    <x v="13"/>
    <s v="PM"/>
    <s v="ORD0641"/>
    <s v="L002"/>
    <s v="Tequila 750ml"/>
    <x v="0"/>
    <n v="8"/>
    <n v="160"/>
    <n v="0"/>
    <n v="160"/>
    <n v="13.2"/>
    <n v="30"/>
    <s v="Card"/>
    <x v="1"/>
  </r>
  <r>
    <x v="13"/>
    <s v="PM"/>
    <s v="ORD0941"/>
    <s v="F001"/>
    <s v="Wings Basket"/>
    <x v="1"/>
    <n v="10"/>
    <n v="120"/>
    <n v="0"/>
    <n v="120"/>
    <n v="9.9"/>
    <n v="0"/>
    <s v="Cash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BCC960-5627-4AD3-881C-2B1487A76196}" name="ptSalesSummary" cacheId="0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compactData="0" multipleFieldFilters="0" chartFormat="1">
  <location ref="A3:B17" firstHeaderRow="1" firstDataRow="1" firstDataCol="1"/>
  <pivotFields count="14"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Items count="1">
    <i/>
  </colItems>
  <dataFields count="1">
    <dataField name="Net Sales" fld="9" baseField="0" baseItem="0" numFmtId="164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9E950D-45C4-4B02-8D6C-5063E6AD3D13}" name="ptBartenderSales" cacheId="0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compactData="0" multipleFieldFilters="0" chartFormat="1">
  <location ref="K3:L5" firstHeaderRow="1" firstDataRow="1" firstDataCol="1"/>
  <pivotFields count="14"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3">
        <item x="0"/>
        <item x="1"/>
        <item t="default"/>
      </items>
    </pivotField>
  </pivotFields>
  <rowFields count="1">
    <field x="13"/>
  </rowFields>
  <rowItems count="2">
    <i>
      <x/>
    </i>
    <i>
      <x v="1"/>
    </i>
  </rowItems>
  <colItems count="1">
    <i/>
  </colItems>
  <dataFields count="1">
    <dataField name="Net Sales" fld="9" baseField="0" baseItem="0" numFmtId="164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7CE0B5-4624-4946-BD60-A460078548D9}" name="ptCategoryMix" cacheId="0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compactData="0" multipleFieldFilters="0" chartFormat="1">
  <location ref="F3:G5" firstHeaderRow="1" firstDataRow="1" firstDataCol="1"/>
  <pivotFields count="14"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5"/>
  </rowFields>
  <rowItems count="2">
    <i>
      <x/>
    </i>
    <i>
      <x v="1"/>
    </i>
  </rowItems>
  <colItems count="1">
    <i/>
  </colItems>
  <dataFields count="1">
    <dataField name="Net Sales" fld="9" baseField="0" baseItem="0" numFmtId="164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8BF10F0-6951-457E-94C6-680E4B24EB9C}" name="tblOrderLines" displayName="tblOrderLines" ref="A15:F21" totalsRowShown="0">
  <autoFilter ref="A15:F21" xr:uid="{78BF10F0-6951-457E-94C6-680E4B24EB9C}"/>
  <tableColumns count="6">
    <tableColumn id="1" xr3:uid="{D33F7A13-DB9F-4833-AF64-549E49EA0BF8}" name="ItemID"/>
    <tableColumn id="2" xr3:uid="{146E7B65-5165-4B45-BCB3-F1AC45001256}" name="ItemName"/>
    <tableColumn id="3" xr3:uid="{078CADC6-9A92-40CD-92EE-B9E201CF90C2}" name="Qty"/>
    <tableColumn id="4" xr3:uid="{063F8834-CE84-4600-B0FA-6CFCCBEC9230}" name="Unit"/>
    <tableColumn id="5" xr3:uid="{712B3677-734D-4773-A17C-F8213D477BCA}" name="UnitCost" dataDxfId="1"/>
    <tableColumn id="6" xr3:uid="{655247D5-F1B5-4C07-BC49-6A33C3A01260}" name="LineTotal" dataDxfId="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04160D6-6F80-4C57-B049-95919A00BCEB}" name="tblOrderHistory" displayName="tblOrderHistory" ref="B56:H57" insertRow="1" totalsRowShown="0" dataDxfId="19" tableBorderDxfId="18">
  <autoFilter ref="B56:H57" xr:uid="{104160D6-6F80-4C57-B049-95919A00BCEB}"/>
  <tableColumns count="7">
    <tableColumn id="1" xr3:uid="{06262EF0-A9FF-4F1D-8324-92A389B3CAFD}" name="OrderID" dataDxfId="17"/>
    <tableColumn id="2" xr3:uid="{B88C3E13-27EC-4EB9-865C-94D8589892D4}" name="OrderDate" dataDxfId="16"/>
    <tableColumn id="3" xr3:uid="{0E485C5A-3819-4DE4-9A67-A6F885F0A26C}" name="Vendor" dataDxfId="15"/>
    <tableColumn id="4" xr3:uid="{598DA86C-41FE-49B6-9BB9-7C06F9AC29E1}" name="RequestedBy" dataDxfId="14"/>
    <tableColumn id="5" xr3:uid="{5D15D0C6-252B-4740-8547-1548DF78AF25}" name="Total" dataDxfId="13"/>
    <tableColumn id="6" xr3:uid="{DE59A2CF-C4E1-4BB5-BBB2-9105CD6E06E7}" name="Status" dataDxfId="12"/>
    <tableColumn id="7" xr3:uid="{C7FAEEED-CD3C-4EC2-B27A-6C8F81410828}" name="Notes" dataDxfId="11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F6EBBB7-ADB1-4E19-9883-A6643CC94FEC}" name="tblRecipes" displayName="tblRecipes" ref="A1:J17" totalsRowShown="0">
  <autoFilter ref="A1:J17" xr:uid="{7F6EBBB7-ADB1-4E19-9883-A6643CC94FEC}"/>
  <tableColumns count="10">
    <tableColumn id="1" xr3:uid="{DDA8BC25-0BA3-429A-8A59-43D2C46CE746}" name="DrinkID"/>
    <tableColumn id="2" xr3:uid="{56864C41-1770-4A80-A38D-5007E0102FF3}" name="DrinkName"/>
    <tableColumn id="3" xr3:uid="{E93C4E91-9392-45FF-BC8E-5F2D678F0426}" name="IngredientItemID"/>
    <tableColumn id="4" xr3:uid="{64C3929B-78A6-4321-83C9-D9787CAAE60A}" name="OuncesUsed"/>
    <tableColumn id="5" xr3:uid="{8A6393A7-82FF-4E56-AC57-7DC64E87B045}" name="CostPerOz"/>
    <tableColumn id="6" xr3:uid="{9FA488A4-804E-4E55-BA9B-FF7AA4BAA6FE}" name="IngredientCost"/>
    <tableColumn id="7" xr3:uid="{64DAC3F8-C84A-4FF7-AE18-3615511ABE84}" name="TotalDrinkCost"/>
    <tableColumn id="8" xr3:uid="{9289419B-D108-4369-8C45-75292692314F}" name="TargetPourCostPct"/>
    <tableColumn id="9" xr3:uid="{AC1FA00B-4397-4D16-A0C3-256B0B237794}" name="Column1"/>
    <tableColumn id="10" xr3:uid="{2E8B47BF-34EF-4197-96FD-076CE51B3166}" name="SuggestedPric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92A7E0C-A87B-478B-81AA-6B2786B38BDF}" name="tblSchedule" displayName="tblSchedule" ref="A1:G2" insertRow="1" totalsRowShown="0" headerRowDxfId="10" dataDxfId="9">
  <autoFilter ref="A1:G2" xr:uid="{792A7E0C-A87B-478B-81AA-6B2786B38BDF}"/>
  <tableColumns count="7">
    <tableColumn id="1" xr3:uid="{EC656B2A-EB35-4F09-97DD-DE0894E3CFC9}" name="ShiftDate" dataDxfId="8"/>
    <tableColumn id="2" xr3:uid="{4E0D431E-7BA2-4855-814C-08D1F19A1AAE}" name="Shift" dataDxfId="7"/>
    <tableColumn id="3" xr3:uid="{4AB18FF6-563B-4F93-91B6-90AAE181EA21}" name="StaffName" dataDxfId="6"/>
    <tableColumn id="4" xr3:uid="{65C44A30-D9F2-47DA-8895-082D582728CF}" name="Role" dataDxfId="5"/>
    <tableColumn id="5" xr3:uid="{DAC9458E-5434-495A-BABB-D5210CDCA03D}" name="HoursPlanned" dataDxfId="4"/>
    <tableColumn id="6" xr3:uid="{FDB97ABD-23FB-4A5D-9F60-4FC2764CDB86}" name="HoursActual" dataDxfId="3"/>
    <tableColumn id="7" xr3:uid="{D7DDDD83-EA19-4A3C-96B1-A42B984EF171}" name="Notes" dataDxfId="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3D73E07-EBCC-458A-859D-ADE3EBBE19FD}" name="tblSales" displayName="tblSales" ref="A1:N43" totalsRowShown="0">
  <autoFilter ref="A1:N43" xr:uid="{F3D73E07-EBCC-458A-859D-ADE3EBBE19FD}"/>
  <tableColumns count="14">
    <tableColumn id="1" xr3:uid="{7695D4B7-4C3D-4808-BED0-A417F90DD78B}" name="SaleDate"/>
    <tableColumn id="2" xr3:uid="{60C71FAE-73E0-4E40-953C-D52D6DC1341D}" name="Shift"/>
    <tableColumn id="3" xr3:uid="{9A4E0B34-8552-47CC-B8DA-046CDC51BCC2}" name="OrderID"/>
    <tableColumn id="4" xr3:uid="{43320D21-7C85-40E8-BBD4-3F19AD1C22C5}" name="ItemID"/>
    <tableColumn id="5" xr3:uid="{BE3812B3-8194-4CF6-9253-9463A68904E1}" name="ItemName"/>
    <tableColumn id="6" xr3:uid="{E7B1CCAD-1086-4E32-B24B-D8A76175018F}" name="Category"/>
    <tableColumn id="7" xr3:uid="{B0126661-F9BE-4F2C-9ACF-DEC51E90810F}" name="Qty"/>
    <tableColumn id="8" xr3:uid="{E6B6D5C9-3682-413F-9F90-D27753D3B4A2}" name="GrossSales"/>
    <tableColumn id="9" xr3:uid="{6EE5B813-2085-4928-9829-5E2818BF6BA8}" name="Discount"/>
    <tableColumn id="10" xr3:uid="{485F066D-4028-4B6E-AFC5-C9D6D8BD1853}" name="NetSales"/>
    <tableColumn id="11" xr3:uid="{47B74542-97CF-4415-BFFC-B38D823840DC}" name="Tax"/>
    <tableColumn id="12" xr3:uid="{08337EFF-65C1-476D-A5BD-BA3B7935A984}" name="Tip"/>
    <tableColumn id="13" xr3:uid="{3F875F45-E8AF-4652-B755-06BB9E79A81E}" name="TenderType"/>
    <tableColumn id="14" xr3:uid="{C60A884C-E82F-4605-A0FF-07FDD7514D6C}" name="Bartende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24F4AD9-5735-447E-9754-DBD299A5132A}" name="tblCounts" displayName="tblCounts" ref="A1:F2" insertRow="1" totalsRowShown="0">
  <autoFilter ref="A1:F2" xr:uid="{624F4AD9-5735-447E-9754-DBD299A5132A}"/>
  <tableColumns count="6">
    <tableColumn id="1" xr3:uid="{B3CC5CC6-B03D-4795-87CF-6608BFC83237}" name="CountDate"/>
    <tableColumn id="2" xr3:uid="{F06BDA3B-9A33-4425-8D70-AF795B0D5B9D}" name="ItemID"/>
    <tableColumn id="3" xr3:uid="{8978D3D1-4BAB-4947-A809-C28673EB1C63}" name="ItemName"/>
    <tableColumn id="4" xr3:uid="{46808E09-71D2-4D59-826D-D4CC2F79B713}" name="UnitsCounted"/>
    <tableColumn id="5" xr3:uid="{B2BF3388-EAE9-4AAC-BF07-4A3A8C8B65B0}" name="Notes"/>
    <tableColumn id="6" xr3:uid="{A91E316F-8C81-4DC0-954B-941E79EC0794}" name="CountedBy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B17D75F-8450-4A80-BD79-60850742B232}" name="tblDeliveries" displayName="tblDeliveries" ref="A1:H3" totalsRowShown="0">
  <autoFilter ref="A1:H3" xr:uid="{3B17D75F-8450-4A80-BD79-60850742B232}"/>
  <tableColumns count="8">
    <tableColumn id="1" xr3:uid="{4145F869-7908-4910-8009-D02FCB5AF5D6}" name="DeliveryDate"/>
    <tableColumn id="2" xr3:uid="{29E218F5-667B-476F-B542-DE3AB01D1E11}" name="Vendor"/>
    <tableColumn id="3" xr3:uid="{051AF70C-95FC-4F80-B108-CB6E70BDCD15}" name="InvoiceNo"/>
    <tableColumn id="4" xr3:uid="{871A0A8B-05F5-4312-8DB5-144099B7CD59}" name="ItemID"/>
    <tableColumn id="5" xr3:uid="{7EE180B1-1EB5-43A0-AD30-FDC3163FEA31}" name="ItemName"/>
    <tableColumn id="6" xr3:uid="{664935F2-D97A-4BDB-9559-A47A524531CF}" name="UnitsDelivered"/>
    <tableColumn id="7" xr3:uid="{79351D90-41C9-4319-A100-162C57B902E2}" name="UnitCost"/>
    <tableColumn id="8" xr3:uid="{9AD993B5-7949-45E5-847B-FD1778DEE746}" name="TotalCos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97CE9D-31E5-4DD1-9930-09839BD32761}" name="tblStaff" displayName="tblStaff" ref="A1:F4" totalsRowShown="0">
  <autoFilter ref="A1:F4" xr:uid="{E797CE9D-31E5-4DD1-9930-09839BD32761}"/>
  <tableColumns count="6">
    <tableColumn id="1" xr3:uid="{04449AC7-18FE-44D7-8DE3-B6D2861721CE}" name="StaffID"/>
    <tableColumn id="2" xr3:uid="{06B4A671-9CB2-4F0C-BF4B-8561F4FE4C01}" name="StaffName"/>
    <tableColumn id="3" xr3:uid="{DD2F91FE-C5F8-4E41-8110-930804D190E8}" name="Role"/>
    <tableColumn id="4" xr3:uid="{60D7D73B-7146-4F45-B9AB-2CCEADDCBF2F}" name="HourlyRate"/>
    <tableColumn id="5" xr3:uid="{B4EE1460-4600-4E03-B5F1-5A74B59D27CF}" name="TipSharePct"/>
    <tableColumn id="6" xr3:uid="{3F34C391-F6E1-4717-A64B-C91DFB891641}" name="Activ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F3966AB-C650-468B-A75A-1F7AC77459F4}" name="tblItems" displayName="tblItems" ref="A1:J7" totalsRowShown="0">
  <autoFilter ref="A1:J7" xr:uid="{4F3966AB-C650-468B-A75A-1F7AC77459F4}"/>
  <tableColumns count="10">
    <tableColumn id="1" xr3:uid="{D7D37488-053B-451F-9A0B-83ACB80766F6}" name="ItemID"/>
    <tableColumn id="2" xr3:uid="{A372DD59-7CCA-4CBF-99C8-205A5CAC0FC0}" name="ItemName"/>
    <tableColumn id="3" xr3:uid="{C7CABAD8-A3EF-47CE-BCBB-1C20536D7C94}" name="Category"/>
    <tableColumn id="4" xr3:uid="{5ADE5235-C8A2-4DBB-AF75-1C5DB53E7018}" name="Unit"/>
    <tableColumn id="5" xr3:uid="{A19CCECF-C539-4DC9-87FB-8CC5E57268F8}" name="SizeML"/>
    <tableColumn id="6" xr3:uid="{9578A6F8-B4AD-4F9E-A747-AAD8B9A05508}" name="CostPerUnit"/>
    <tableColumn id="7" xr3:uid="{F24A2B57-ED59-4394-93D8-F3FF9BAEBC83}" name="Vendor"/>
    <tableColumn id="8" xr3:uid="{7F130697-6936-415B-B189-F179CD30B013}" name="ParLevelUnits"/>
    <tableColumn id="9" xr3:uid="{11C3D809-80FB-45B9-96F3-1C50160F22D0}" name="ReorderPointUnits"/>
    <tableColumn id="10" xr3:uid="{827B725D-8B45-4E6C-A4E5-A11DF99B1246}" name="Activ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AA9DEC5-AFE5-4B87-9662-AC54F10B33BC}" name="tblVendors" displayName="tblVendors" ref="A1:F3" totalsRowShown="0">
  <autoFilter ref="A1:F3" xr:uid="{EAA9DEC5-AFE5-4B87-9662-AC54F10B33BC}"/>
  <tableColumns count="6">
    <tableColumn id="1" xr3:uid="{67AD0427-93E6-4D3F-9A0D-538119DF4EFA}" name="VendorID"/>
    <tableColumn id="2" xr3:uid="{69F13F5C-EC78-4B99-A4B5-1C3E75A9CCAE}" name="VendorName"/>
    <tableColumn id="3" xr3:uid="{118EC3BE-4A24-4090-8CFD-C705DE74BF16}" name="Contact"/>
    <tableColumn id="4" xr3:uid="{FD687701-0B26-426E-8F3D-2EABA6AF7242}" name="Email"/>
    <tableColumn id="5" xr3:uid="{D1138011-7892-4AE1-9901-B19E414DC908}" name="Phone"/>
    <tableColumn id="6" xr3:uid="{9BE6FFD2-487F-46D4-A4F1-791E0DBD4959}" name="Active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FB32E-BC0D-45B2-87DD-A011900B3FE6}">
  <sheetPr codeName="Sheet1"/>
  <dimension ref="A1"/>
  <sheetViews>
    <sheetView workbookViewId="0">
      <selection activeCell="O15" sqref="O15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CB354-9685-43D4-97C4-E306E326DD21}">
  <sheetPr codeName="Sheet2"/>
  <dimension ref="A1:Q22"/>
  <sheetViews>
    <sheetView topLeftCell="A14" workbookViewId="0">
      <selection activeCell="H50" sqref="H50"/>
    </sheetView>
  </sheetViews>
  <sheetFormatPr defaultRowHeight="14.4" x14ac:dyDescent="0.3"/>
  <cols>
    <col min="1" max="16" width="16.77734375" style="1" customWidth="1"/>
    <col min="17" max="22" width="18.77734375" style="1" customWidth="1"/>
    <col min="23" max="26" width="16.77734375" style="1" customWidth="1"/>
    <col min="27" max="16384" width="8.88671875" style="1"/>
  </cols>
  <sheetData>
    <row r="1" spans="1:17" ht="34.049999999999997" customHeight="1" x14ac:dyDescent="0.3">
      <c r="A1" s="76" t="s">
        <v>67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Q1" s="2" t="s">
        <v>77</v>
      </c>
    </row>
    <row r="2" spans="1:17" ht="15" thickBot="1" x14ac:dyDescent="0.35"/>
    <row r="3" spans="1:17" x14ac:dyDescent="0.3">
      <c r="A3" s="77" t="s">
        <v>68</v>
      </c>
      <c r="B3" s="78"/>
      <c r="C3" s="79"/>
      <c r="D3" s="77" t="s">
        <v>69</v>
      </c>
      <c r="E3" s="78"/>
      <c r="F3" s="79"/>
      <c r="G3" s="77" t="s">
        <v>70</v>
      </c>
      <c r="H3" s="78"/>
      <c r="I3" s="79"/>
      <c r="J3" s="77" t="s">
        <v>71</v>
      </c>
      <c r="K3" s="78"/>
      <c r="L3" s="79"/>
      <c r="M3" s="77" t="s">
        <v>72</v>
      </c>
      <c r="N3" s="79"/>
    </row>
    <row r="4" spans="1:17" x14ac:dyDescent="0.3">
      <c r="A4" s="80"/>
      <c r="B4" s="81"/>
      <c r="C4" s="82"/>
      <c r="D4" s="80"/>
      <c r="E4" s="81"/>
      <c r="F4" s="82"/>
      <c r="G4" s="80"/>
      <c r="H4" s="81"/>
      <c r="I4" s="82"/>
      <c r="J4" s="80"/>
      <c r="K4" s="81"/>
      <c r="L4" s="82"/>
      <c r="M4" s="80"/>
      <c r="N4" s="82"/>
    </row>
    <row r="5" spans="1:17" x14ac:dyDescent="0.3">
      <c r="A5" s="80"/>
      <c r="B5" s="81"/>
      <c r="C5" s="82"/>
      <c r="D5" s="80"/>
      <c r="E5" s="81"/>
      <c r="F5" s="82"/>
      <c r="G5" s="80"/>
      <c r="H5" s="81"/>
      <c r="I5" s="82"/>
      <c r="J5" s="80"/>
      <c r="K5" s="81"/>
      <c r="L5" s="82"/>
      <c r="M5" s="80"/>
      <c r="N5" s="82"/>
    </row>
    <row r="6" spans="1:17" ht="15" thickBot="1" x14ac:dyDescent="0.35">
      <c r="A6" s="83"/>
      <c r="B6" s="84"/>
      <c r="C6" s="85"/>
      <c r="D6" s="86"/>
      <c r="E6" s="84"/>
      <c r="F6" s="85"/>
      <c r="G6" s="86"/>
      <c r="H6" s="84"/>
      <c r="I6" s="85"/>
      <c r="J6" s="86"/>
      <c r="K6" s="84"/>
      <c r="L6" s="85"/>
      <c r="M6" s="86"/>
      <c r="N6" s="85"/>
    </row>
    <row r="8" spans="1:17" x14ac:dyDescent="0.3">
      <c r="A8" s="2" t="s">
        <v>73</v>
      </c>
      <c r="H8" s="2" t="s">
        <v>74</v>
      </c>
    </row>
    <row r="22" spans="1:8" x14ac:dyDescent="0.3">
      <c r="A22" s="2" t="s">
        <v>75</v>
      </c>
      <c r="H22" s="2" t="s">
        <v>76</v>
      </c>
    </row>
  </sheetData>
  <mergeCells count="6">
    <mergeCell ref="A1:N1"/>
    <mergeCell ref="A3:C6"/>
    <mergeCell ref="D3:F6"/>
    <mergeCell ref="G3:I6"/>
    <mergeCell ref="J3:L6"/>
    <mergeCell ref="M3:N6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78A09-7C56-43EC-A24D-C30BBA9B5D5C}">
  <sheetPr codeName="Sheet3"/>
  <dimension ref="A1:B10"/>
  <sheetViews>
    <sheetView workbookViewId="0"/>
  </sheetViews>
  <sheetFormatPr defaultRowHeight="14.4" x14ac:dyDescent="0.3"/>
  <cols>
    <col min="1" max="1" width="26.77734375" style="1" bestFit="1" customWidth="1"/>
    <col min="2" max="2" width="10.5546875" style="1" bestFit="1" customWidth="1"/>
    <col min="3" max="26" width="16.77734375" style="1" customWidth="1"/>
    <col min="27" max="16384" width="8.88671875" style="1"/>
  </cols>
  <sheetData>
    <row r="1" spans="1:2" ht="21" x14ac:dyDescent="0.4">
      <c r="A1" s="3" t="s">
        <v>79</v>
      </c>
    </row>
    <row r="3" spans="1:2" x14ac:dyDescent="0.3">
      <c r="A3" s="1" t="s">
        <v>80</v>
      </c>
      <c r="B3" s="4">
        <v>45982</v>
      </c>
    </row>
    <row r="4" spans="1:2" x14ac:dyDescent="0.3">
      <c r="A4" s="1" t="s">
        <v>81</v>
      </c>
      <c r="B4" s="5">
        <v>45982.660266203704</v>
      </c>
    </row>
    <row r="6" spans="1:2" x14ac:dyDescent="0.3">
      <c r="A6" s="1" t="s">
        <v>82</v>
      </c>
      <c r="B6" s="6">
        <v>0</v>
      </c>
    </row>
    <row r="7" spans="1:2" x14ac:dyDescent="0.3">
      <c r="A7" s="1" t="s">
        <v>83</v>
      </c>
      <c r="B7" s="7">
        <v>0</v>
      </c>
    </row>
    <row r="8" spans="1:2" x14ac:dyDescent="0.3">
      <c r="A8" s="1" t="s">
        <v>84</v>
      </c>
      <c r="B8" s="7">
        <v>0</v>
      </c>
    </row>
    <row r="9" spans="1:2" x14ac:dyDescent="0.3">
      <c r="A9" s="1" t="s">
        <v>85</v>
      </c>
      <c r="B9" s="7">
        <v>0.2</v>
      </c>
    </row>
    <row r="10" spans="1:2" x14ac:dyDescent="0.3">
      <c r="A10" s="1" t="s">
        <v>72</v>
      </c>
      <c r="B10" s="7">
        <v>0.2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AF9DF-69A4-4CD4-9F9D-656D11E318A4}">
  <sheetPr codeName="Sheet4">
    <pageSetUpPr fitToPage="1"/>
  </sheetPr>
  <dimension ref="A1:J72"/>
  <sheetViews>
    <sheetView tabSelected="1" topLeftCell="A9" zoomScaleNormal="100" workbookViewId="0">
      <selection activeCell="D12" sqref="D12"/>
    </sheetView>
  </sheetViews>
  <sheetFormatPr defaultRowHeight="18" customHeight="1" x14ac:dyDescent="0.3"/>
  <cols>
    <col min="1" max="1" width="8.5546875" style="1" customWidth="1"/>
    <col min="2" max="2" width="16.77734375" style="1" customWidth="1"/>
    <col min="3" max="3" width="20.77734375" style="1" customWidth="1"/>
    <col min="4" max="7" width="14.77734375" style="1" customWidth="1"/>
    <col min="8" max="8" width="12.77734375" style="1" customWidth="1"/>
    <col min="9" max="9" width="14.77734375" style="1" customWidth="1"/>
    <col min="10" max="25" width="16.77734375" style="1" customWidth="1"/>
    <col min="26" max="16384" width="8.88671875" style="1"/>
  </cols>
  <sheetData>
    <row r="1" spans="1:10" ht="30" customHeight="1" x14ac:dyDescent="0.3">
      <c r="B1" s="62" t="s">
        <v>197</v>
      </c>
      <c r="C1" s="62"/>
      <c r="D1" s="62"/>
      <c r="E1" s="62"/>
      <c r="F1" s="62"/>
      <c r="G1" s="62"/>
      <c r="H1" s="62"/>
      <c r="I1" s="62"/>
    </row>
    <row r="2" spans="1:10" ht="30" customHeight="1" x14ac:dyDescent="0.3">
      <c r="B2" s="62"/>
      <c r="C2" s="62"/>
      <c r="D2" s="62"/>
      <c r="E2" s="62"/>
      <c r="F2" s="62"/>
      <c r="G2" s="62"/>
      <c r="H2" s="62"/>
      <c r="I2" s="62"/>
    </row>
    <row r="3" spans="1:10" ht="18" customHeight="1" x14ac:dyDescent="0.3">
      <c r="H3" s="74" t="s">
        <v>211</v>
      </c>
      <c r="I3" s="75"/>
      <c r="J3" s="38" t="s">
        <v>226</v>
      </c>
    </row>
    <row r="4" spans="1:10" ht="18" customHeight="1" x14ac:dyDescent="0.3">
      <c r="B4" s="2" t="s">
        <v>16</v>
      </c>
      <c r="C4" s="63" t="s">
        <v>105</v>
      </c>
      <c r="D4" s="64"/>
      <c r="E4" s="64"/>
      <c r="F4" s="64"/>
      <c r="G4" s="64"/>
      <c r="H4" s="64"/>
      <c r="I4" s="65"/>
    </row>
    <row r="5" spans="1:10" ht="18" customHeight="1" x14ac:dyDescent="0.3">
      <c r="B5" s="2" t="s">
        <v>198</v>
      </c>
      <c r="C5" s="66">
        <v>46063</v>
      </c>
      <c r="D5" s="67"/>
    </row>
    <row r="6" spans="1:10" ht="18" customHeight="1" x14ac:dyDescent="0.3">
      <c r="B6" s="2" t="s">
        <v>199</v>
      </c>
      <c r="C6" s="63" t="s">
        <v>227</v>
      </c>
      <c r="D6" s="64"/>
      <c r="E6" s="64"/>
      <c r="F6" s="64"/>
      <c r="G6" s="64"/>
      <c r="H6" s="64"/>
      <c r="I6" s="65"/>
    </row>
    <row r="7" spans="1:10" ht="36" customHeight="1" x14ac:dyDescent="0.3">
      <c r="B7" s="2" t="s">
        <v>22</v>
      </c>
      <c r="C7" s="68"/>
      <c r="D7" s="69"/>
      <c r="E7" s="69"/>
      <c r="F7" s="69"/>
      <c r="G7" s="69"/>
      <c r="H7" s="69"/>
      <c r="I7" s="70"/>
    </row>
    <row r="8" spans="1:10" ht="36" customHeight="1" x14ac:dyDescent="0.3">
      <c r="C8" s="71"/>
      <c r="D8" s="72"/>
      <c r="E8" s="72"/>
      <c r="F8" s="72"/>
      <c r="G8" s="72"/>
      <c r="H8" s="72"/>
      <c r="I8" s="73"/>
    </row>
    <row r="10" spans="1:10" ht="18" customHeight="1" x14ac:dyDescent="0.3">
      <c r="B10" s="31" t="s">
        <v>200</v>
      </c>
    </row>
    <row r="11" spans="1:10" ht="18" customHeight="1" x14ac:dyDescent="0.3">
      <c r="B11" s="32" t="s">
        <v>201</v>
      </c>
      <c r="C11" s="33"/>
      <c r="D11" s="33" t="s">
        <v>6</v>
      </c>
      <c r="E11" s="33" t="s">
        <v>202</v>
      </c>
      <c r="F11" s="33" t="s">
        <v>203</v>
      </c>
      <c r="G11" s="34" t="s">
        <v>204</v>
      </c>
    </row>
    <row r="12" spans="1:10" ht="18" customHeight="1" x14ac:dyDescent="0.3">
      <c r="B12" s="39"/>
      <c r="C12" s="40"/>
      <c r="D12" s="35"/>
      <c r="E12" s="35"/>
      <c r="F12" s="36"/>
      <c r="G12" s="37">
        <v>0</v>
      </c>
    </row>
    <row r="14" spans="1:10" ht="19.95" customHeight="1" x14ac:dyDescent="0.3">
      <c r="B14" s="31" t="s">
        <v>205</v>
      </c>
    </row>
    <row r="15" spans="1:10" ht="18" customHeight="1" x14ac:dyDescent="0.3">
      <c r="A15" t="s">
        <v>3</v>
      </c>
      <c r="B15" t="s">
        <v>4</v>
      </c>
      <c r="C15" t="s">
        <v>6</v>
      </c>
      <c r="D15" t="s">
        <v>202</v>
      </c>
      <c r="E15" t="s">
        <v>27</v>
      </c>
      <c r="F15" t="s">
        <v>88</v>
      </c>
      <c r="G15" s="59" t="s">
        <v>206</v>
      </c>
      <c r="H15" s="60"/>
      <c r="I15" s="41">
        <v>0</v>
      </c>
    </row>
    <row r="16" spans="1:10" ht="18" customHeight="1" x14ac:dyDescent="0.3">
      <c r="A16" t="s">
        <v>99</v>
      </c>
      <c r="B16" t="s">
        <v>100</v>
      </c>
      <c r="C16">
        <v>12</v>
      </c>
      <c r="D16" t="s">
        <v>97</v>
      </c>
      <c r="E16" s="43">
        <v>24</v>
      </c>
      <c r="F16" s="43">
        <v>288</v>
      </c>
      <c r="G16" s="48" t="s">
        <v>225</v>
      </c>
      <c r="H16" s="46">
        <f>IFERROR(SUM(ORDER!$F$16:$F$26),0)</f>
        <v>288</v>
      </c>
      <c r="J16" s="42"/>
    </row>
    <row r="17" spans="1:8" ht="18" customHeight="1" thickBot="1" x14ac:dyDescent="0.35">
      <c r="A17"/>
      <c r="B17"/>
      <c r="C17"/>
      <c r="D17"/>
      <c r="E17" s="43"/>
      <c r="F17" s="43"/>
      <c r="G17" s="45" t="str">
        <f>"Tax (" &amp; TEXT(SETTINGS!B7,"0.00%") &amp; ")"</f>
        <v>Tax (9.80%)</v>
      </c>
      <c r="H17" s="47">
        <f>H16*SETTINGS!B7</f>
        <v>28.224</v>
      </c>
    </row>
    <row r="18" spans="1:8" ht="18" customHeight="1" x14ac:dyDescent="0.3">
      <c r="A18"/>
      <c r="B18"/>
      <c r="C18"/>
      <c r="D18"/>
      <c r="E18" s="43"/>
      <c r="F18" s="43"/>
      <c r="G18" s="49" t="s">
        <v>210</v>
      </c>
      <c r="H18" s="50">
        <f>H16+H17</f>
        <v>316.22399999999999</v>
      </c>
    </row>
    <row r="19" spans="1:8" ht="18" customHeight="1" x14ac:dyDescent="0.3">
      <c r="A19"/>
      <c r="B19"/>
      <c r="C19"/>
      <c r="D19"/>
      <c r="E19" s="43"/>
      <c r="F19" s="43"/>
      <c r="G19" s="2"/>
    </row>
    <row r="20" spans="1:8" ht="18" customHeight="1" x14ac:dyDescent="0.3">
      <c r="A20"/>
      <c r="B20"/>
      <c r="C20"/>
      <c r="D20"/>
      <c r="E20" s="43"/>
      <c r="F20" s="43"/>
      <c r="G20" s="51"/>
    </row>
    <row r="21" spans="1:8" ht="18" customHeight="1" x14ac:dyDescent="0.3">
      <c r="A21"/>
      <c r="B21"/>
      <c r="C21"/>
      <c r="D21"/>
      <c r="E21" s="43"/>
      <c r="F21" s="43"/>
      <c r="G21" s="9"/>
    </row>
    <row r="22" spans="1:8" ht="18" customHeight="1" x14ac:dyDescent="0.3">
      <c r="A22"/>
      <c r="B22"/>
      <c r="C22"/>
      <c r="D22"/>
      <c r="E22"/>
      <c r="F22"/>
      <c r="G22" s="9"/>
    </row>
    <row r="23" spans="1:8" ht="18" customHeight="1" x14ac:dyDescent="0.3">
      <c r="A23"/>
      <c r="B23"/>
      <c r="C23"/>
      <c r="D23"/>
      <c r="E23"/>
      <c r="F23"/>
      <c r="G23" s="9"/>
    </row>
    <row r="24" spans="1:8" ht="18" customHeight="1" x14ac:dyDescent="0.3">
      <c r="A24"/>
      <c r="B24"/>
      <c r="C24"/>
      <c r="D24"/>
      <c r="E24"/>
      <c r="F24"/>
      <c r="G24" s="9"/>
    </row>
    <row r="25" spans="1:8" ht="18" customHeight="1" x14ac:dyDescent="0.3">
      <c r="A25"/>
      <c r="B25"/>
      <c r="C25"/>
      <c r="D25"/>
      <c r="E25"/>
      <c r="F25"/>
      <c r="G25" s="9"/>
    </row>
    <row r="26" spans="1:8" ht="18" customHeight="1" x14ac:dyDescent="0.3">
      <c r="A26"/>
      <c r="B26"/>
      <c r="C26"/>
      <c r="D26"/>
      <c r="E26"/>
      <c r="F26"/>
      <c r="G26" s="9"/>
    </row>
    <row r="27" spans="1:8" ht="18" customHeight="1" x14ac:dyDescent="0.3">
      <c r="A27"/>
      <c r="B27"/>
      <c r="C27"/>
      <c r="D27"/>
      <c r="E27"/>
      <c r="F27"/>
      <c r="G27" s="9"/>
    </row>
    <row r="28" spans="1:8" ht="18" customHeight="1" x14ac:dyDescent="0.3">
      <c r="A28"/>
      <c r="B28"/>
      <c r="C28"/>
      <c r="D28"/>
      <c r="E28"/>
      <c r="F28"/>
      <c r="G28" s="9"/>
    </row>
    <row r="29" spans="1:8" ht="18" customHeight="1" x14ac:dyDescent="0.3">
      <c r="A29"/>
      <c r="B29"/>
      <c r="C29"/>
      <c r="D29"/>
      <c r="E29"/>
      <c r="F29"/>
      <c r="G29" s="9"/>
    </row>
    <row r="30" spans="1:8" ht="18" customHeight="1" x14ac:dyDescent="0.3">
      <c r="A30"/>
      <c r="B30"/>
      <c r="C30"/>
      <c r="D30"/>
      <c r="E30"/>
      <c r="F30"/>
      <c r="G30" s="9"/>
    </row>
    <row r="31" spans="1:8" ht="18" customHeight="1" x14ac:dyDescent="0.3">
      <c r="A31"/>
      <c r="B31"/>
      <c r="C31"/>
      <c r="D31"/>
      <c r="E31"/>
      <c r="F31"/>
      <c r="G31" s="9"/>
    </row>
    <row r="32" spans="1:8" ht="18" customHeight="1" x14ac:dyDescent="0.3">
      <c r="A32"/>
      <c r="B32"/>
      <c r="C32"/>
      <c r="D32"/>
      <c r="E32"/>
      <c r="F32"/>
      <c r="G32" s="9"/>
    </row>
    <row r="33" spans="1:8" ht="18" customHeight="1" x14ac:dyDescent="0.3">
      <c r="A33"/>
      <c r="B33"/>
      <c r="C33"/>
      <c r="D33"/>
      <c r="E33"/>
      <c r="F33"/>
      <c r="G33" s="9"/>
    </row>
    <row r="34" spans="1:8" ht="18" customHeight="1" x14ac:dyDescent="0.3">
      <c r="A34"/>
      <c r="B34"/>
      <c r="C34"/>
      <c r="D34"/>
      <c r="E34"/>
      <c r="F34"/>
      <c r="G34" s="9"/>
    </row>
    <row r="35" spans="1:8" ht="18" customHeight="1" x14ac:dyDescent="0.3">
      <c r="A35"/>
      <c r="B35"/>
      <c r="C35"/>
      <c r="D35"/>
      <c r="E35"/>
      <c r="F35"/>
      <c r="G35" s="9"/>
    </row>
    <row r="36" spans="1:8" ht="18" customHeight="1" x14ac:dyDescent="0.3">
      <c r="A36"/>
      <c r="B36"/>
      <c r="C36"/>
      <c r="D36"/>
      <c r="E36"/>
      <c r="F36"/>
      <c r="G36" s="9"/>
    </row>
    <row r="37" spans="1:8" ht="18" customHeight="1" x14ac:dyDescent="0.3">
      <c r="A37"/>
      <c r="B37"/>
      <c r="C37"/>
      <c r="D37"/>
      <c r="E37"/>
      <c r="F37"/>
      <c r="G37" s="9"/>
    </row>
    <row r="38" spans="1:8" ht="18" customHeight="1" x14ac:dyDescent="0.3">
      <c r="A38"/>
      <c r="B38"/>
      <c r="C38"/>
      <c r="D38"/>
      <c r="E38"/>
      <c r="F38"/>
      <c r="G38" s="9"/>
    </row>
    <row r="39" spans="1:8" ht="18" customHeight="1" x14ac:dyDescent="0.3">
      <c r="A39"/>
      <c r="B39"/>
      <c r="C39"/>
      <c r="D39"/>
      <c r="E39"/>
      <c r="F39"/>
    </row>
    <row r="40" spans="1:8" ht="18" customHeight="1" x14ac:dyDescent="0.3">
      <c r="A40"/>
      <c r="B40"/>
      <c r="C40"/>
      <c r="D40"/>
      <c r="E40"/>
      <c r="F40"/>
    </row>
    <row r="41" spans="1:8" ht="18" customHeight="1" x14ac:dyDescent="0.3">
      <c r="A41"/>
      <c r="B41"/>
      <c r="C41"/>
      <c r="D41"/>
      <c r="E41"/>
      <c r="F41"/>
    </row>
    <row r="42" spans="1:8" ht="18" customHeight="1" x14ac:dyDescent="0.3">
      <c r="A42"/>
      <c r="B42"/>
      <c r="C42"/>
      <c r="D42"/>
      <c r="E42"/>
      <c r="F42"/>
    </row>
    <row r="43" spans="1:8" ht="18" customHeight="1" x14ac:dyDescent="0.3">
      <c r="A43"/>
      <c r="B43"/>
      <c r="C43"/>
      <c r="D43"/>
      <c r="E43"/>
      <c r="F43"/>
    </row>
    <row r="44" spans="1:8" ht="18" customHeight="1" x14ac:dyDescent="0.3">
      <c r="A44"/>
      <c r="B44"/>
      <c r="C44"/>
      <c r="D44"/>
      <c r="E44"/>
      <c r="F44"/>
    </row>
    <row r="45" spans="1:8" ht="18" customHeight="1" x14ac:dyDescent="0.3">
      <c r="A45"/>
      <c r="B45"/>
      <c r="C45"/>
      <c r="D45"/>
      <c r="E45"/>
      <c r="F45"/>
    </row>
    <row r="46" spans="1:8" ht="18" customHeight="1" x14ac:dyDescent="0.3">
      <c r="A46"/>
      <c r="B46"/>
      <c r="C46"/>
      <c r="D46"/>
      <c r="E46"/>
      <c r="F46"/>
    </row>
    <row r="47" spans="1:8" ht="18" customHeight="1" x14ac:dyDescent="0.3">
      <c r="A47"/>
      <c r="B47"/>
      <c r="C47"/>
      <c r="D47"/>
      <c r="E47"/>
      <c r="F47"/>
      <c r="G47"/>
      <c r="H47"/>
    </row>
    <row r="48" spans="1:8" ht="18" customHeight="1" x14ac:dyDescent="0.3">
      <c r="A48"/>
      <c r="B48"/>
      <c r="C48"/>
      <c r="D48"/>
      <c r="E48"/>
      <c r="F48"/>
    </row>
    <row r="49" spans="1:8" ht="18" customHeight="1" x14ac:dyDescent="0.3">
      <c r="A49"/>
      <c r="B49"/>
      <c r="C49"/>
      <c r="D49"/>
      <c r="E49"/>
      <c r="F49"/>
    </row>
    <row r="50" spans="1:8" ht="18" customHeight="1" x14ac:dyDescent="0.3">
      <c r="A50"/>
      <c r="B50"/>
      <c r="C50"/>
      <c r="D50"/>
      <c r="E50"/>
      <c r="F50"/>
    </row>
    <row r="51" spans="1:8" ht="18" customHeight="1" x14ac:dyDescent="0.3">
      <c r="A51"/>
      <c r="B51"/>
      <c r="C51"/>
      <c r="D51"/>
      <c r="E51"/>
      <c r="F51"/>
    </row>
    <row r="52" spans="1:8" ht="18" customHeight="1" x14ac:dyDescent="0.3">
      <c r="A52"/>
      <c r="B52"/>
      <c r="C52"/>
      <c r="D52"/>
      <c r="E52"/>
      <c r="F52"/>
    </row>
    <row r="53" spans="1:8" ht="18" customHeight="1" x14ac:dyDescent="0.3">
      <c r="B53" s="54" t="s">
        <v>2</v>
      </c>
      <c r="C53" s="54" t="s">
        <v>208</v>
      </c>
      <c r="D53" s="54" t="s">
        <v>16</v>
      </c>
      <c r="E53" s="54" t="s">
        <v>209</v>
      </c>
      <c r="F53" s="54" t="s">
        <v>210</v>
      </c>
    </row>
    <row r="54" spans="1:8" ht="18" customHeight="1" x14ac:dyDescent="0.3">
      <c r="C54" s="55"/>
      <c r="F54" s="9"/>
    </row>
    <row r="55" spans="1:8" ht="18" customHeight="1" x14ac:dyDescent="0.3">
      <c r="B55" s="61" t="s">
        <v>207</v>
      </c>
      <c r="C55" s="61"/>
      <c r="D55" s="61"/>
      <c r="E55" s="61"/>
      <c r="F55" s="61"/>
      <c r="G55" s="61"/>
      <c r="H55" s="61"/>
    </row>
    <row r="56" spans="1:8" ht="18" customHeight="1" x14ac:dyDescent="0.3">
      <c r="B56" t="s">
        <v>2</v>
      </c>
      <c r="C56" t="s">
        <v>208</v>
      </c>
      <c r="D56" t="s">
        <v>16</v>
      </c>
      <c r="E56" t="s">
        <v>209</v>
      </c>
      <c r="F56" t="s">
        <v>210</v>
      </c>
      <c r="G56" s="56" t="s">
        <v>61</v>
      </c>
      <c r="H56" s="56" t="s">
        <v>22</v>
      </c>
    </row>
    <row r="57" spans="1:8" ht="18" customHeight="1" x14ac:dyDescent="0.3">
      <c r="B57"/>
      <c r="C57" s="52"/>
      <c r="D57"/>
      <c r="E57"/>
      <c r="F57" s="43"/>
      <c r="G57" s="57"/>
      <c r="H57" s="58"/>
    </row>
    <row r="58" spans="1:8" ht="18" customHeight="1" x14ac:dyDescent="0.3">
      <c r="B58"/>
      <c r="C58"/>
      <c r="D58"/>
      <c r="E58"/>
      <c r="F58"/>
      <c r="G58" s="44"/>
      <c r="H58" s="44"/>
    </row>
    <row r="59" spans="1:8" ht="18" customHeight="1" x14ac:dyDescent="0.3">
      <c r="B59"/>
      <c r="C59"/>
      <c r="D59"/>
      <c r="E59"/>
      <c r="F59"/>
      <c r="G59" s="44"/>
      <c r="H59" s="44"/>
    </row>
    <row r="60" spans="1:8" ht="18" customHeight="1" x14ac:dyDescent="0.3">
      <c r="B60"/>
      <c r="C60"/>
      <c r="D60"/>
      <c r="E60"/>
      <c r="F60"/>
      <c r="G60" s="44"/>
      <c r="H60" s="44"/>
    </row>
    <row r="61" spans="1:8" ht="18" customHeight="1" x14ac:dyDescent="0.3">
      <c r="B61"/>
      <c r="C61"/>
      <c r="D61"/>
      <c r="E61"/>
      <c r="F61"/>
      <c r="G61" s="44"/>
      <c r="H61" s="44"/>
    </row>
    <row r="62" spans="1:8" ht="18" customHeight="1" x14ac:dyDescent="0.3">
      <c r="B62"/>
      <c r="C62"/>
      <c r="D62"/>
      <c r="E62"/>
      <c r="F62"/>
      <c r="G62" s="44"/>
      <c r="H62" s="44"/>
    </row>
    <row r="63" spans="1:8" ht="18" customHeight="1" x14ac:dyDescent="0.3">
      <c r="B63"/>
      <c r="C63"/>
      <c r="D63"/>
      <c r="E63"/>
      <c r="F63"/>
      <c r="G63" s="44"/>
      <c r="H63" s="44"/>
    </row>
    <row r="64" spans="1:8" ht="18" customHeight="1" x14ac:dyDescent="0.3">
      <c r="B64"/>
      <c r="C64"/>
      <c r="D64"/>
      <c r="E64"/>
      <c r="F64"/>
      <c r="G64" s="44"/>
      <c r="H64" s="44"/>
    </row>
    <row r="65" spans="2:8" ht="18" customHeight="1" x14ac:dyDescent="0.3">
      <c r="B65"/>
      <c r="C65"/>
      <c r="D65"/>
      <c r="E65"/>
      <c r="F65"/>
      <c r="G65" s="44"/>
      <c r="H65" s="44"/>
    </row>
    <row r="66" spans="2:8" ht="18" customHeight="1" x14ac:dyDescent="0.3">
      <c r="B66"/>
      <c r="C66"/>
      <c r="D66"/>
      <c r="E66"/>
      <c r="F66"/>
      <c r="G66" s="44"/>
      <c r="H66" s="44"/>
    </row>
    <row r="67" spans="2:8" ht="18" customHeight="1" x14ac:dyDescent="0.3">
      <c r="B67"/>
      <c r="C67"/>
      <c r="D67"/>
      <c r="E67"/>
      <c r="F67"/>
      <c r="G67" s="53"/>
      <c r="H67" s="53"/>
    </row>
    <row r="68" spans="2:8" ht="18" customHeight="1" x14ac:dyDescent="0.3">
      <c r="B68"/>
      <c r="C68"/>
      <c r="D68"/>
      <c r="E68"/>
      <c r="F68"/>
      <c r="G68" s="53"/>
      <c r="H68" s="53"/>
    </row>
    <row r="69" spans="2:8" ht="18" customHeight="1" x14ac:dyDescent="0.3">
      <c r="B69"/>
      <c r="C69"/>
      <c r="D69"/>
      <c r="E69"/>
      <c r="F69"/>
      <c r="G69" s="53"/>
      <c r="H69" s="53"/>
    </row>
    <row r="70" spans="2:8" ht="18" customHeight="1" x14ac:dyDescent="0.3">
      <c r="B70"/>
      <c r="C70"/>
      <c r="D70"/>
      <c r="E70"/>
      <c r="F70"/>
      <c r="G70" s="53"/>
      <c r="H70" s="53"/>
    </row>
    <row r="71" spans="2:8" ht="18" customHeight="1" x14ac:dyDescent="0.3">
      <c r="B71"/>
      <c r="C71"/>
      <c r="D71"/>
      <c r="E71"/>
      <c r="F71"/>
      <c r="G71" s="53"/>
      <c r="H71" s="53"/>
    </row>
    <row r="72" spans="2:8" ht="18" customHeight="1" x14ac:dyDescent="0.3">
      <c r="B72"/>
      <c r="C72"/>
      <c r="D72"/>
      <c r="E72"/>
      <c r="F72"/>
    </row>
  </sheetData>
  <mergeCells count="8">
    <mergeCell ref="G15:H15"/>
    <mergeCell ref="B55:H55"/>
    <mergeCell ref="B1:I2"/>
    <mergeCell ref="C4:I4"/>
    <mergeCell ref="C5:D5"/>
    <mergeCell ref="C6:I6"/>
    <mergeCell ref="C7:I8"/>
    <mergeCell ref="H3:I3"/>
  </mergeCells>
  <phoneticPr fontId="8" type="noConversion"/>
  <dataValidations count="1">
    <dataValidation type="list" allowBlank="1" showInputMessage="1" showErrorMessage="1" sqref="C4" xr:uid="{63F14285-FD17-4461-AEB8-81E10C5D0F33}">
      <formula1>VendorList</formula1>
    </dataValidation>
  </dataValidations>
  <printOptions horizontalCentered="1"/>
  <pageMargins left="0.25" right="0.25" top="0.35" bottom="0.35" header="0.3" footer="0.3"/>
  <pageSetup scale="79"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29A0248-E0D1-44E3-BF4B-FD32BC1F6764}">
          <x14:formula1>
            <xm:f>DATA_ITEMS!$B$2:$B$7</xm:f>
          </x14:formula1>
          <xm:sqref>B12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63D06-2B5C-4A8E-B05A-75D26D9464ED}">
  <sheetPr codeName="Sheet5"/>
  <dimension ref="A1:N6"/>
  <sheetViews>
    <sheetView workbookViewId="0"/>
  </sheetViews>
  <sheetFormatPr defaultRowHeight="14.4" x14ac:dyDescent="0.3"/>
  <cols>
    <col min="1" max="1" width="6.6640625" style="1" bestFit="1" customWidth="1"/>
    <col min="2" max="2" width="14" style="1" bestFit="1" customWidth="1"/>
    <col min="3" max="3" width="8.5546875" style="1" bestFit="1" customWidth="1"/>
    <col min="4" max="4" width="12.21875" style="1" bestFit="1" customWidth="1"/>
    <col min="5" max="5" width="8.109375" style="1" bestFit="1" customWidth="1"/>
    <col min="6" max="6" width="12.109375" style="1" bestFit="1" customWidth="1"/>
    <col min="7" max="7" width="14.5546875" style="1" bestFit="1" customWidth="1"/>
    <col min="8" max="8" width="8.21875" style="1" bestFit="1" customWidth="1"/>
    <col min="9" max="9" width="14.109375" style="1" bestFit="1" customWidth="1"/>
    <col min="10" max="10" width="15.5546875" style="1" bestFit="1" customWidth="1"/>
    <col min="11" max="11" width="10.33203125" style="1" bestFit="1" customWidth="1"/>
    <col min="12" max="12" width="13.77734375" style="1" bestFit="1" customWidth="1"/>
    <col min="13" max="13" width="12" style="1" bestFit="1" customWidth="1"/>
    <col min="14" max="14" width="8.88671875" style="1" bestFit="1" customWidth="1"/>
    <col min="15" max="26" width="16.77734375" style="1" customWidth="1"/>
    <col min="27" max="16384" width="8.88671875" style="1"/>
  </cols>
  <sheetData>
    <row r="1" spans="1:14" x14ac:dyDescent="0.3">
      <c r="A1" s="2" t="s">
        <v>3</v>
      </c>
      <c r="B1" s="2" t="s">
        <v>4</v>
      </c>
      <c r="C1" s="2" t="s">
        <v>5</v>
      </c>
      <c r="D1" s="2" t="s">
        <v>52</v>
      </c>
      <c r="E1" s="2" t="s">
        <v>53</v>
      </c>
      <c r="F1" s="2" t="s">
        <v>54</v>
      </c>
      <c r="G1" s="2" t="s">
        <v>55</v>
      </c>
      <c r="H1" s="2" t="s">
        <v>27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</row>
    <row r="2" spans="1:14" x14ac:dyDescent="0.3">
      <c r="A2" s="1" t="s">
        <v>94</v>
      </c>
      <c r="B2" s="1" t="s">
        <v>95</v>
      </c>
      <c r="C2" s="1" t="s">
        <v>96</v>
      </c>
      <c r="D2" s="1">
        <v>-162</v>
      </c>
      <c r="E2" s="1">
        <v>12</v>
      </c>
      <c r="F2" s="1">
        <v>4</v>
      </c>
      <c r="G2" s="1">
        <v>174</v>
      </c>
      <c r="H2" s="1">
        <v>18.5</v>
      </c>
      <c r="I2" s="1">
        <f>D2*H2</f>
        <v>-2997</v>
      </c>
      <c r="J2" s="1">
        <v>0</v>
      </c>
      <c r="K2" s="1">
        <v>0</v>
      </c>
      <c r="L2" s="1">
        <v>0</v>
      </c>
      <c r="M2" s="1">
        <v>0</v>
      </c>
      <c r="N2" s="1" t="s">
        <v>169</v>
      </c>
    </row>
    <row r="3" spans="1:14" x14ac:dyDescent="0.3">
      <c r="A3" s="1" t="s">
        <v>99</v>
      </c>
      <c r="B3" s="1" t="s">
        <v>100</v>
      </c>
      <c r="C3" s="1" t="s">
        <v>96</v>
      </c>
      <c r="D3" s="1">
        <v>-112</v>
      </c>
      <c r="E3" s="1">
        <v>10</v>
      </c>
      <c r="F3" s="1">
        <v>3</v>
      </c>
      <c r="G3" s="1">
        <v>122</v>
      </c>
      <c r="H3" s="1">
        <v>24</v>
      </c>
      <c r="I3" s="1">
        <f>D3*H3</f>
        <v>-2688</v>
      </c>
      <c r="J3" s="1">
        <v>0</v>
      </c>
      <c r="K3" s="1">
        <v>0</v>
      </c>
      <c r="L3" s="1">
        <v>0</v>
      </c>
      <c r="M3" s="1">
        <v>0</v>
      </c>
      <c r="N3" s="1" t="s">
        <v>169</v>
      </c>
    </row>
    <row r="4" spans="1:14" x14ac:dyDescent="0.3">
      <c r="A4" s="1" t="s">
        <v>101</v>
      </c>
      <c r="B4" s="1" t="s">
        <v>102</v>
      </c>
      <c r="C4" s="1" t="s">
        <v>103</v>
      </c>
      <c r="D4" s="1">
        <v>2</v>
      </c>
      <c r="E4" s="1">
        <v>6</v>
      </c>
      <c r="F4" s="1">
        <v>2</v>
      </c>
      <c r="G4" s="1">
        <v>4</v>
      </c>
      <c r="H4" s="1">
        <v>145</v>
      </c>
      <c r="I4" s="1">
        <f>D4*H4</f>
        <v>290</v>
      </c>
      <c r="J4" s="1">
        <v>0</v>
      </c>
      <c r="K4" s="1">
        <v>0</v>
      </c>
      <c r="L4" s="1">
        <v>0</v>
      </c>
      <c r="M4" s="1">
        <v>0</v>
      </c>
      <c r="N4" s="1" t="s">
        <v>169</v>
      </c>
    </row>
    <row r="5" spans="1:14" x14ac:dyDescent="0.3">
      <c r="A5" s="1" t="s">
        <v>106</v>
      </c>
      <c r="B5" s="1" t="s">
        <v>107</v>
      </c>
      <c r="C5" s="1" t="s">
        <v>108</v>
      </c>
      <c r="D5" s="1">
        <v>0</v>
      </c>
      <c r="E5" s="1">
        <v>18</v>
      </c>
      <c r="F5" s="1">
        <v>6</v>
      </c>
      <c r="G5" s="1">
        <v>18</v>
      </c>
      <c r="H5" s="1">
        <v>12</v>
      </c>
      <c r="I5" s="1">
        <f>D5*H5</f>
        <v>0</v>
      </c>
      <c r="J5" s="1">
        <v>0</v>
      </c>
      <c r="K5" s="1">
        <v>0</v>
      </c>
      <c r="L5" s="1">
        <v>0</v>
      </c>
      <c r="M5" s="1">
        <v>0</v>
      </c>
      <c r="N5" s="1" t="s">
        <v>169</v>
      </c>
    </row>
    <row r="6" spans="1:14" x14ac:dyDescent="0.3">
      <c r="A6" s="1" t="s">
        <v>110</v>
      </c>
      <c r="B6" s="1" t="s">
        <v>111</v>
      </c>
      <c r="C6" s="1" t="s">
        <v>112</v>
      </c>
      <c r="D6" s="1">
        <v>-140</v>
      </c>
      <c r="E6" s="1">
        <v>0</v>
      </c>
      <c r="F6" s="1">
        <v>0</v>
      </c>
      <c r="G6" s="1">
        <v>0</v>
      </c>
      <c r="H6" s="1">
        <v>4</v>
      </c>
      <c r="I6" s="1">
        <f>D6*H6</f>
        <v>-560</v>
      </c>
      <c r="J6" s="1">
        <v>0</v>
      </c>
      <c r="K6" s="1">
        <v>0</v>
      </c>
      <c r="L6" s="1">
        <v>0</v>
      </c>
      <c r="M6" s="1">
        <v>0</v>
      </c>
      <c r="N6" s="1" t="s">
        <v>170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9ECBD-2467-493E-9B2B-59DCBD770C35}">
  <sheetPr codeName="Sheet6"/>
  <dimension ref="A1:J17"/>
  <sheetViews>
    <sheetView topLeftCell="A13" workbookViewId="0">
      <selection activeCell="K30" sqref="K30"/>
    </sheetView>
  </sheetViews>
  <sheetFormatPr defaultRowHeight="14.4" x14ac:dyDescent="0.3"/>
  <cols>
    <col min="1" max="1" width="9.44140625" bestFit="1" customWidth="1"/>
    <col min="2" max="2" width="12.6640625" bestFit="1" customWidth="1"/>
    <col min="3" max="3" width="17.44140625" bestFit="1" customWidth="1"/>
    <col min="4" max="4" width="13.6640625" bestFit="1" customWidth="1"/>
    <col min="5" max="5" width="12" bestFit="1" customWidth="1"/>
    <col min="6" max="6" width="15.5546875" bestFit="1" customWidth="1"/>
    <col min="7" max="7" width="15.6640625" bestFit="1" customWidth="1"/>
    <col min="8" max="8" width="18.77734375" bestFit="1" customWidth="1"/>
    <col min="9" max="9" width="10.6640625" bestFit="1" customWidth="1"/>
    <col min="10" max="10" width="16.21875" bestFit="1" customWidth="1"/>
    <col min="11" max="26" width="16.77734375" customWidth="1"/>
  </cols>
  <sheetData>
    <row r="1" spans="1:10" x14ac:dyDescent="0.3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196</v>
      </c>
      <c r="J1" t="s">
        <v>42</v>
      </c>
    </row>
    <row r="2" spans="1:10" x14ac:dyDescent="0.3">
      <c r="A2" t="s">
        <v>171</v>
      </c>
      <c r="B2" t="s">
        <v>172</v>
      </c>
      <c r="C2" t="s">
        <v>173</v>
      </c>
      <c r="D2">
        <v>2</v>
      </c>
      <c r="E2">
        <v>0</v>
      </c>
      <c r="F2">
        <v>0</v>
      </c>
      <c r="G2">
        <v>0</v>
      </c>
      <c r="H2">
        <v>0.2</v>
      </c>
      <c r="J2">
        <v>0</v>
      </c>
    </row>
    <row r="3" spans="1:10" x14ac:dyDescent="0.3">
      <c r="A3" t="s">
        <v>171</v>
      </c>
      <c r="B3" t="s">
        <v>172</v>
      </c>
      <c r="C3" t="s">
        <v>174</v>
      </c>
      <c r="D3">
        <v>1</v>
      </c>
      <c r="E3">
        <v>0</v>
      </c>
      <c r="F3">
        <v>0</v>
      </c>
      <c r="G3">
        <v>0</v>
      </c>
      <c r="H3">
        <v>0.2</v>
      </c>
      <c r="J3">
        <v>0</v>
      </c>
    </row>
    <row r="4" spans="1:10" x14ac:dyDescent="0.3">
      <c r="A4" t="s">
        <v>171</v>
      </c>
      <c r="B4" t="s">
        <v>172</v>
      </c>
      <c r="C4" t="s">
        <v>175</v>
      </c>
      <c r="D4">
        <v>0.5</v>
      </c>
      <c r="E4">
        <v>0</v>
      </c>
      <c r="F4">
        <v>0</v>
      </c>
      <c r="G4">
        <v>0</v>
      </c>
      <c r="H4">
        <v>0.2</v>
      </c>
      <c r="J4">
        <v>0</v>
      </c>
    </row>
    <row r="5" spans="1:10" x14ac:dyDescent="0.3">
      <c r="A5" t="s">
        <v>176</v>
      </c>
      <c r="B5" t="s">
        <v>177</v>
      </c>
      <c r="C5" t="s">
        <v>178</v>
      </c>
      <c r="D5">
        <v>2</v>
      </c>
      <c r="E5">
        <v>0</v>
      </c>
      <c r="F5">
        <v>0</v>
      </c>
      <c r="G5">
        <v>0</v>
      </c>
      <c r="H5">
        <v>0.2</v>
      </c>
      <c r="J5">
        <v>0</v>
      </c>
    </row>
    <row r="6" spans="1:10" x14ac:dyDescent="0.3">
      <c r="A6" t="s">
        <v>176</v>
      </c>
      <c r="B6" t="s">
        <v>177</v>
      </c>
      <c r="C6" t="s">
        <v>175</v>
      </c>
      <c r="D6">
        <v>0.25</v>
      </c>
      <c r="E6">
        <v>0</v>
      </c>
      <c r="F6">
        <v>0</v>
      </c>
      <c r="G6">
        <v>0</v>
      </c>
      <c r="H6">
        <v>0.2</v>
      </c>
      <c r="J6">
        <v>0</v>
      </c>
    </row>
    <row r="7" spans="1:10" x14ac:dyDescent="0.3">
      <c r="A7" t="s">
        <v>179</v>
      </c>
      <c r="B7" t="s">
        <v>180</v>
      </c>
      <c r="C7" t="s">
        <v>181</v>
      </c>
      <c r="D7">
        <v>1.5</v>
      </c>
      <c r="E7">
        <v>0</v>
      </c>
      <c r="F7">
        <v>0</v>
      </c>
      <c r="G7">
        <v>0</v>
      </c>
      <c r="H7">
        <v>0.2</v>
      </c>
      <c r="J7">
        <v>0</v>
      </c>
    </row>
    <row r="8" spans="1:10" x14ac:dyDescent="0.3">
      <c r="A8" t="s">
        <v>179</v>
      </c>
      <c r="B8" t="s">
        <v>180</v>
      </c>
      <c r="C8" t="s">
        <v>182</v>
      </c>
      <c r="D8">
        <v>4</v>
      </c>
      <c r="E8">
        <v>0</v>
      </c>
      <c r="F8">
        <v>0</v>
      </c>
      <c r="G8">
        <v>0</v>
      </c>
      <c r="H8">
        <v>0.2</v>
      </c>
      <c r="J8">
        <v>0</v>
      </c>
    </row>
    <row r="9" spans="1:10" x14ac:dyDescent="0.3">
      <c r="A9" t="s">
        <v>183</v>
      </c>
      <c r="B9" t="s">
        <v>184</v>
      </c>
      <c r="C9" t="s">
        <v>178</v>
      </c>
      <c r="D9">
        <v>2</v>
      </c>
      <c r="E9">
        <v>0</v>
      </c>
      <c r="F9">
        <v>0</v>
      </c>
      <c r="G9">
        <v>0</v>
      </c>
      <c r="H9">
        <v>0.2</v>
      </c>
      <c r="J9">
        <v>0</v>
      </c>
    </row>
    <row r="10" spans="1:10" x14ac:dyDescent="0.3">
      <c r="A10" t="s">
        <v>183</v>
      </c>
      <c r="B10" t="s">
        <v>184</v>
      </c>
      <c r="C10" t="s">
        <v>174</v>
      </c>
      <c r="D10">
        <v>1</v>
      </c>
      <c r="E10">
        <v>0</v>
      </c>
      <c r="F10">
        <v>0</v>
      </c>
      <c r="G10">
        <v>0</v>
      </c>
      <c r="H10">
        <v>0.2</v>
      </c>
      <c r="J10">
        <v>0</v>
      </c>
    </row>
    <row r="11" spans="1:10" x14ac:dyDescent="0.3">
      <c r="A11" t="s">
        <v>183</v>
      </c>
      <c r="B11" t="s">
        <v>184</v>
      </c>
      <c r="C11" t="s">
        <v>175</v>
      </c>
      <c r="D11">
        <v>0.5</v>
      </c>
      <c r="E11">
        <v>0</v>
      </c>
      <c r="F11">
        <v>0</v>
      </c>
      <c r="G11">
        <v>0</v>
      </c>
      <c r="H11">
        <v>0.2</v>
      </c>
      <c r="J11">
        <v>0</v>
      </c>
    </row>
    <row r="12" spans="1:10" x14ac:dyDescent="0.3">
      <c r="A12" t="s">
        <v>185</v>
      </c>
      <c r="B12" t="s">
        <v>186</v>
      </c>
      <c r="C12" t="s">
        <v>187</v>
      </c>
      <c r="D12">
        <v>2</v>
      </c>
      <c r="E12">
        <v>0</v>
      </c>
      <c r="F12">
        <v>0</v>
      </c>
      <c r="G12">
        <v>0</v>
      </c>
      <c r="H12">
        <v>0.2</v>
      </c>
      <c r="J12">
        <v>0</v>
      </c>
    </row>
    <row r="13" spans="1:10" x14ac:dyDescent="0.3">
      <c r="A13" t="s">
        <v>185</v>
      </c>
      <c r="B13" t="s">
        <v>186</v>
      </c>
      <c r="C13" t="s">
        <v>188</v>
      </c>
      <c r="D13">
        <v>4</v>
      </c>
      <c r="E13">
        <v>0</v>
      </c>
      <c r="F13">
        <v>0</v>
      </c>
      <c r="G13">
        <v>0</v>
      </c>
      <c r="H13">
        <v>0.2</v>
      </c>
      <c r="J13">
        <v>0</v>
      </c>
    </row>
    <row r="14" spans="1:10" x14ac:dyDescent="0.3">
      <c r="A14" t="s">
        <v>189</v>
      </c>
      <c r="B14" t="s">
        <v>190</v>
      </c>
      <c r="C14" t="s">
        <v>181</v>
      </c>
      <c r="D14">
        <v>2</v>
      </c>
      <c r="E14">
        <v>0</v>
      </c>
      <c r="F14">
        <v>0</v>
      </c>
      <c r="G14">
        <v>0</v>
      </c>
      <c r="H14">
        <v>0.2</v>
      </c>
      <c r="J14">
        <v>0</v>
      </c>
    </row>
    <row r="15" spans="1:10" x14ac:dyDescent="0.3">
      <c r="A15" t="s">
        <v>189</v>
      </c>
      <c r="B15" t="s">
        <v>190</v>
      </c>
      <c r="C15" t="s">
        <v>191</v>
      </c>
      <c r="D15">
        <v>4</v>
      </c>
      <c r="E15">
        <v>0</v>
      </c>
      <c r="F15">
        <v>0</v>
      </c>
      <c r="G15">
        <v>0</v>
      </c>
      <c r="H15">
        <v>0.2</v>
      </c>
      <c r="J15">
        <v>0</v>
      </c>
    </row>
    <row r="16" spans="1:10" x14ac:dyDescent="0.3">
      <c r="A16" t="s">
        <v>192</v>
      </c>
      <c r="B16" t="s">
        <v>193</v>
      </c>
      <c r="C16" t="s">
        <v>194</v>
      </c>
      <c r="D16">
        <v>2</v>
      </c>
      <c r="E16">
        <v>0</v>
      </c>
      <c r="F16">
        <v>0</v>
      </c>
      <c r="G16">
        <v>0</v>
      </c>
      <c r="H16">
        <v>0.2</v>
      </c>
      <c r="J16">
        <v>0</v>
      </c>
    </row>
    <row r="17" spans="1:10" x14ac:dyDescent="0.3">
      <c r="A17" t="s">
        <v>192</v>
      </c>
      <c r="B17" t="s">
        <v>193</v>
      </c>
      <c r="C17" t="s">
        <v>195</v>
      </c>
      <c r="D17">
        <v>4</v>
      </c>
      <c r="E17">
        <v>0</v>
      </c>
      <c r="F17">
        <v>0</v>
      </c>
      <c r="G17">
        <v>0</v>
      </c>
      <c r="H17">
        <v>0.2</v>
      </c>
      <c r="J17">
        <v>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F6BC5-4FDB-466E-91B1-D7227E0CE1F1}">
  <sheetPr codeName="Sheet7"/>
  <dimension ref="A1"/>
  <sheetViews>
    <sheetView workbookViewId="0"/>
  </sheetViews>
  <sheetFormatPr defaultRowHeight="14.4" x14ac:dyDescent="0.3"/>
  <cols>
    <col min="1" max="26" width="16.77734375" style="1" customWidth="1"/>
    <col min="27" max="16384" width="8.88671875" style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40C76-8A7B-4C80-B4DB-0E85A016273C}">
  <sheetPr codeName="Sheet8"/>
  <dimension ref="A1:K5"/>
  <sheetViews>
    <sheetView workbookViewId="0"/>
  </sheetViews>
  <sheetFormatPr defaultRowHeight="14.4" x14ac:dyDescent="0.3"/>
  <cols>
    <col min="1" max="9" width="16.77734375" style="1" customWidth="1"/>
    <col min="10" max="10" width="22.109375" style="1" bestFit="1" customWidth="1"/>
    <col min="11" max="11" width="5" style="1" bestFit="1" customWidth="1"/>
    <col min="12" max="26" width="16.77734375" style="1" customWidth="1"/>
    <col min="27" max="16384" width="8.88671875" style="1"/>
  </cols>
  <sheetData>
    <row r="1" spans="1:11" x14ac:dyDescent="0.3">
      <c r="A1" s="1" t="s">
        <v>43</v>
      </c>
      <c r="B1" s="1" t="s">
        <v>1</v>
      </c>
      <c r="C1" s="1" t="s">
        <v>30</v>
      </c>
      <c r="D1" s="1" t="s">
        <v>31</v>
      </c>
      <c r="E1" s="1" t="s">
        <v>44</v>
      </c>
      <c r="F1" s="1" t="s">
        <v>45</v>
      </c>
      <c r="G1" s="1" t="s">
        <v>22</v>
      </c>
      <c r="J1" s="2" t="s">
        <v>62</v>
      </c>
    </row>
    <row r="2" spans="1:11" x14ac:dyDescent="0.3">
      <c r="J2" s="1" t="s">
        <v>63</v>
      </c>
      <c r="K2" s="1">
        <v>0</v>
      </c>
    </row>
    <row r="3" spans="1:11" x14ac:dyDescent="0.3">
      <c r="J3" s="1" t="s">
        <v>64</v>
      </c>
      <c r="K3" s="1">
        <v>0</v>
      </c>
    </row>
    <row r="4" spans="1:11" x14ac:dyDescent="0.3">
      <c r="J4" s="1" t="s">
        <v>65</v>
      </c>
      <c r="K4" s="1">
        <v>6440</v>
      </c>
    </row>
    <row r="5" spans="1:11" x14ac:dyDescent="0.3">
      <c r="J5" s="1" t="s">
        <v>66</v>
      </c>
      <c r="K5" s="1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A5B78-834C-4E3F-B7C2-F29870816E4D}">
  <sheetPr codeName="Sheet9"/>
  <dimension ref="A1:N43"/>
  <sheetViews>
    <sheetView workbookViewId="0"/>
  </sheetViews>
  <sheetFormatPr defaultRowHeight="14.4" x14ac:dyDescent="0.3"/>
  <cols>
    <col min="1" max="1" width="10.44140625" customWidth="1"/>
    <col min="3" max="3" width="9.44140625" customWidth="1"/>
    <col min="5" max="5" width="11.77734375" customWidth="1"/>
    <col min="6" max="6" width="10.21875" customWidth="1"/>
    <col min="8" max="8" width="12.21875" customWidth="1"/>
    <col min="9" max="9" width="10.21875" customWidth="1"/>
    <col min="10" max="10" width="10.44140625" customWidth="1"/>
    <col min="13" max="13" width="12.44140625" customWidth="1"/>
    <col min="14" max="14" width="11.109375" customWidth="1"/>
  </cols>
  <sheetData>
    <row r="1" spans="1:1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3">
      <c r="A2" s="26">
        <v>45970</v>
      </c>
      <c r="B2" t="s">
        <v>123</v>
      </c>
      <c r="C2" t="s">
        <v>124</v>
      </c>
      <c r="D2" t="s">
        <v>94</v>
      </c>
      <c r="E2" t="s">
        <v>95</v>
      </c>
      <c r="F2" t="s">
        <v>96</v>
      </c>
      <c r="G2">
        <v>12</v>
      </c>
      <c r="H2">
        <v>180</v>
      </c>
      <c r="I2">
        <v>0</v>
      </c>
      <c r="J2">
        <v>180</v>
      </c>
      <c r="K2">
        <v>14.85</v>
      </c>
      <c r="L2">
        <v>40</v>
      </c>
      <c r="M2" t="s">
        <v>125</v>
      </c>
      <c r="N2" t="s">
        <v>115</v>
      </c>
    </row>
    <row r="3" spans="1:14" x14ac:dyDescent="0.3">
      <c r="A3" s="26">
        <v>45970</v>
      </c>
      <c r="B3" t="s">
        <v>123</v>
      </c>
      <c r="C3" t="s">
        <v>126</v>
      </c>
      <c r="D3" t="s">
        <v>99</v>
      </c>
      <c r="E3" t="s">
        <v>100</v>
      </c>
      <c r="F3" t="s">
        <v>96</v>
      </c>
      <c r="G3">
        <v>8</v>
      </c>
      <c r="H3">
        <v>160</v>
      </c>
      <c r="I3">
        <v>0</v>
      </c>
      <c r="J3">
        <v>160</v>
      </c>
      <c r="K3">
        <v>13.2</v>
      </c>
      <c r="L3">
        <v>30</v>
      </c>
      <c r="M3" t="s">
        <v>125</v>
      </c>
      <c r="N3" t="s">
        <v>117</v>
      </c>
    </row>
    <row r="4" spans="1:14" x14ac:dyDescent="0.3">
      <c r="A4" s="26">
        <v>45970</v>
      </c>
      <c r="B4" t="s">
        <v>123</v>
      </c>
      <c r="C4" t="s">
        <v>127</v>
      </c>
      <c r="D4" t="s">
        <v>110</v>
      </c>
      <c r="E4" t="s">
        <v>111</v>
      </c>
      <c r="F4" t="s">
        <v>112</v>
      </c>
      <c r="G4">
        <v>10</v>
      </c>
      <c r="H4">
        <v>120</v>
      </c>
      <c r="I4">
        <v>0</v>
      </c>
      <c r="J4">
        <v>120</v>
      </c>
      <c r="K4">
        <v>9.9</v>
      </c>
      <c r="L4">
        <v>0</v>
      </c>
      <c r="M4" t="s">
        <v>128</v>
      </c>
      <c r="N4" t="s">
        <v>115</v>
      </c>
    </row>
    <row r="5" spans="1:14" x14ac:dyDescent="0.3">
      <c r="A5" s="26">
        <v>45971</v>
      </c>
      <c r="B5" t="s">
        <v>123</v>
      </c>
      <c r="C5" t="s">
        <v>129</v>
      </c>
      <c r="D5" t="s">
        <v>94</v>
      </c>
      <c r="E5" t="s">
        <v>95</v>
      </c>
      <c r="F5" t="s">
        <v>96</v>
      </c>
      <c r="G5">
        <v>12</v>
      </c>
      <c r="H5">
        <v>180</v>
      </c>
      <c r="I5">
        <v>0</v>
      </c>
      <c r="J5">
        <v>180</v>
      </c>
      <c r="K5">
        <v>14.85</v>
      </c>
      <c r="L5">
        <v>40</v>
      </c>
      <c r="M5" t="s">
        <v>125</v>
      </c>
      <c r="N5" t="s">
        <v>115</v>
      </c>
    </row>
    <row r="6" spans="1:14" x14ac:dyDescent="0.3">
      <c r="A6" s="26">
        <v>45971</v>
      </c>
      <c r="B6" t="s">
        <v>123</v>
      </c>
      <c r="C6" t="s">
        <v>130</v>
      </c>
      <c r="D6" t="s">
        <v>99</v>
      </c>
      <c r="E6" t="s">
        <v>100</v>
      </c>
      <c r="F6" t="s">
        <v>96</v>
      </c>
      <c r="G6">
        <v>8</v>
      </c>
      <c r="H6">
        <v>160</v>
      </c>
      <c r="I6">
        <v>0</v>
      </c>
      <c r="J6">
        <v>160</v>
      </c>
      <c r="K6">
        <v>13.2</v>
      </c>
      <c r="L6">
        <v>30</v>
      </c>
      <c r="M6" t="s">
        <v>125</v>
      </c>
      <c r="N6" t="s">
        <v>117</v>
      </c>
    </row>
    <row r="7" spans="1:14" x14ac:dyDescent="0.3">
      <c r="A7" s="26">
        <v>45971</v>
      </c>
      <c r="B7" t="s">
        <v>123</v>
      </c>
      <c r="C7" t="s">
        <v>131</v>
      </c>
      <c r="D7" t="s">
        <v>110</v>
      </c>
      <c r="E7" t="s">
        <v>111</v>
      </c>
      <c r="F7" t="s">
        <v>112</v>
      </c>
      <c r="G7">
        <v>10</v>
      </c>
      <c r="H7">
        <v>120</v>
      </c>
      <c r="I7">
        <v>0</v>
      </c>
      <c r="J7">
        <v>120</v>
      </c>
      <c r="K7">
        <v>9.9</v>
      </c>
      <c r="L7">
        <v>0</v>
      </c>
      <c r="M7" t="s">
        <v>128</v>
      </c>
      <c r="N7" t="s">
        <v>115</v>
      </c>
    </row>
    <row r="8" spans="1:14" x14ac:dyDescent="0.3">
      <c r="A8" s="26">
        <v>45972</v>
      </c>
      <c r="B8" t="s">
        <v>123</v>
      </c>
      <c r="C8" t="s">
        <v>132</v>
      </c>
      <c r="D8" t="s">
        <v>94</v>
      </c>
      <c r="E8" t="s">
        <v>95</v>
      </c>
      <c r="F8" t="s">
        <v>96</v>
      </c>
      <c r="G8">
        <v>12</v>
      </c>
      <c r="H8">
        <v>180</v>
      </c>
      <c r="I8">
        <v>0</v>
      </c>
      <c r="J8">
        <v>180</v>
      </c>
      <c r="K8">
        <v>14.85</v>
      </c>
      <c r="L8">
        <v>40</v>
      </c>
      <c r="M8" t="s">
        <v>125</v>
      </c>
      <c r="N8" t="s">
        <v>115</v>
      </c>
    </row>
    <row r="9" spans="1:14" x14ac:dyDescent="0.3">
      <c r="A9" s="26">
        <v>45972</v>
      </c>
      <c r="B9" t="s">
        <v>123</v>
      </c>
      <c r="C9" t="s">
        <v>133</v>
      </c>
      <c r="D9" t="s">
        <v>99</v>
      </c>
      <c r="E9" t="s">
        <v>100</v>
      </c>
      <c r="F9" t="s">
        <v>96</v>
      </c>
      <c r="G9">
        <v>8</v>
      </c>
      <c r="H9">
        <v>160</v>
      </c>
      <c r="I9">
        <v>0</v>
      </c>
      <c r="J9">
        <v>160</v>
      </c>
      <c r="K9">
        <v>13.2</v>
      </c>
      <c r="L9">
        <v>30</v>
      </c>
      <c r="M9" t="s">
        <v>125</v>
      </c>
      <c r="N9" t="s">
        <v>117</v>
      </c>
    </row>
    <row r="10" spans="1:14" x14ac:dyDescent="0.3">
      <c r="A10" s="26">
        <v>45972</v>
      </c>
      <c r="B10" t="s">
        <v>123</v>
      </c>
      <c r="C10" t="s">
        <v>134</v>
      </c>
      <c r="D10" t="s">
        <v>110</v>
      </c>
      <c r="E10" t="s">
        <v>111</v>
      </c>
      <c r="F10" t="s">
        <v>112</v>
      </c>
      <c r="G10">
        <v>10</v>
      </c>
      <c r="H10">
        <v>120</v>
      </c>
      <c r="I10">
        <v>0</v>
      </c>
      <c r="J10">
        <v>120</v>
      </c>
      <c r="K10">
        <v>9.9</v>
      </c>
      <c r="L10">
        <v>0</v>
      </c>
      <c r="M10" t="s">
        <v>128</v>
      </c>
      <c r="N10" t="s">
        <v>115</v>
      </c>
    </row>
    <row r="11" spans="1:14" x14ac:dyDescent="0.3">
      <c r="A11" s="26">
        <v>45973</v>
      </c>
      <c r="B11" t="s">
        <v>123</v>
      </c>
      <c r="C11" t="s">
        <v>135</v>
      </c>
      <c r="D11" t="s">
        <v>94</v>
      </c>
      <c r="E11" t="s">
        <v>95</v>
      </c>
      <c r="F11" t="s">
        <v>96</v>
      </c>
      <c r="G11">
        <v>12</v>
      </c>
      <c r="H11">
        <v>180</v>
      </c>
      <c r="I11">
        <v>0</v>
      </c>
      <c r="J11">
        <v>180</v>
      </c>
      <c r="K11">
        <v>14.85</v>
      </c>
      <c r="L11">
        <v>40</v>
      </c>
      <c r="M11" t="s">
        <v>125</v>
      </c>
      <c r="N11" t="s">
        <v>115</v>
      </c>
    </row>
    <row r="12" spans="1:14" x14ac:dyDescent="0.3">
      <c r="A12" s="26">
        <v>45973</v>
      </c>
      <c r="B12" t="s">
        <v>123</v>
      </c>
      <c r="C12" t="s">
        <v>136</v>
      </c>
      <c r="D12" t="s">
        <v>99</v>
      </c>
      <c r="E12" t="s">
        <v>100</v>
      </c>
      <c r="F12" t="s">
        <v>96</v>
      </c>
      <c r="G12">
        <v>8</v>
      </c>
      <c r="H12">
        <v>160</v>
      </c>
      <c r="I12">
        <v>0</v>
      </c>
      <c r="J12">
        <v>160</v>
      </c>
      <c r="K12">
        <v>13.2</v>
      </c>
      <c r="L12">
        <v>30</v>
      </c>
      <c r="M12" t="s">
        <v>125</v>
      </c>
      <c r="N12" t="s">
        <v>117</v>
      </c>
    </row>
    <row r="13" spans="1:14" x14ac:dyDescent="0.3">
      <c r="A13" s="26">
        <v>45973</v>
      </c>
      <c r="B13" t="s">
        <v>123</v>
      </c>
      <c r="C13" t="s">
        <v>137</v>
      </c>
      <c r="D13" t="s">
        <v>110</v>
      </c>
      <c r="E13" t="s">
        <v>111</v>
      </c>
      <c r="F13" t="s">
        <v>112</v>
      </c>
      <c r="G13">
        <v>10</v>
      </c>
      <c r="H13">
        <v>120</v>
      </c>
      <c r="I13">
        <v>0</v>
      </c>
      <c r="J13">
        <v>120</v>
      </c>
      <c r="K13">
        <v>9.9</v>
      </c>
      <c r="L13">
        <v>0</v>
      </c>
      <c r="M13" t="s">
        <v>128</v>
      </c>
      <c r="N13" t="s">
        <v>115</v>
      </c>
    </row>
    <row r="14" spans="1:14" x14ac:dyDescent="0.3">
      <c r="A14" s="26">
        <v>45974</v>
      </c>
      <c r="B14" t="s">
        <v>123</v>
      </c>
      <c r="C14" t="s">
        <v>138</v>
      </c>
      <c r="D14" t="s">
        <v>94</v>
      </c>
      <c r="E14" t="s">
        <v>95</v>
      </c>
      <c r="F14" t="s">
        <v>96</v>
      </c>
      <c r="G14">
        <v>12</v>
      </c>
      <c r="H14">
        <v>180</v>
      </c>
      <c r="I14">
        <v>0</v>
      </c>
      <c r="J14">
        <v>180</v>
      </c>
      <c r="K14">
        <v>14.85</v>
      </c>
      <c r="L14">
        <v>40</v>
      </c>
      <c r="M14" t="s">
        <v>125</v>
      </c>
      <c r="N14" t="s">
        <v>115</v>
      </c>
    </row>
    <row r="15" spans="1:14" x14ac:dyDescent="0.3">
      <c r="A15" s="26">
        <v>45974</v>
      </c>
      <c r="B15" t="s">
        <v>123</v>
      </c>
      <c r="C15" t="s">
        <v>139</v>
      </c>
      <c r="D15" t="s">
        <v>99</v>
      </c>
      <c r="E15" t="s">
        <v>100</v>
      </c>
      <c r="F15" t="s">
        <v>96</v>
      </c>
      <c r="G15">
        <v>8</v>
      </c>
      <c r="H15">
        <v>160</v>
      </c>
      <c r="I15">
        <v>0</v>
      </c>
      <c r="J15">
        <v>160</v>
      </c>
      <c r="K15">
        <v>13.2</v>
      </c>
      <c r="L15">
        <v>30</v>
      </c>
      <c r="M15" t="s">
        <v>125</v>
      </c>
      <c r="N15" t="s">
        <v>117</v>
      </c>
    </row>
    <row r="16" spans="1:14" x14ac:dyDescent="0.3">
      <c r="A16" s="26">
        <v>45974</v>
      </c>
      <c r="B16" t="s">
        <v>123</v>
      </c>
      <c r="C16" t="s">
        <v>140</v>
      </c>
      <c r="D16" t="s">
        <v>110</v>
      </c>
      <c r="E16" t="s">
        <v>111</v>
      </c>
      <c r="F16" t="s">
        <v>112</v>
      </c>
      <c r="G16">
        <v>10</v>
      </c>
      <c r="H16">
        <v>120</v>
      </c>
      <c r="I16">
        <v>0</v>
      </c>
      <c r="J16">
        <v>120</v>
      </c>
      <c r="K16">
        <v>9.9</v>
      </c>
      <c r="L16">
        <v>0</v>
      </c>
      <c r="M16" t="s">
        <v>128</v>
      </c>
      <c r="N16" t="s">
        <v>115</v>
      </c>
    </row>
    <row r="17" spans="1:14" x14ac:dyDescent="0.3">
      <c r="A17" s="26">
        <v>45975</v>
      </c>
      <c r="B17" t="s">
        <v>123</v>
      </c>
      <c r="C17" t="s">
        <v>141</v>
      </c>
      <c r="D17" t="s">
        <v>94</v>
      </c>
      <c r="E17" t="s">
        <v>95</v>
      </c>
      <c r="F17" t="s">
        <v>96</v>
      </c>
      <c r="G17">
        <v>12</v>
      </c>
      <c r="H17">
        <v>180</v>
      </c>
      <c r="I17">
        <v>0</v>
      </c>
      <c r="J17">
        <v>180</v>
      </c>
      <c r="K17">
        <v>14.85</v>
      </c>
      <c r="L17">
        <v>40</v>
      </c>
      <c r="M17" t="s">
        <v>125</v>
      </c>
      <c r="N17" t="s">
        <v>115</v>
      </c>
    </row>
    <row r="18" spans="1:14" x14ac:dyDescent="0.3">
      <c r="A18" s="26">
        <v>45975</v>
      </c>
      <c r="B18" t="s">
        <v>123</v>
      </c>
      <c r="C18" t="s">
        <v>142</v>
      </c>
      <c r="D18" t="s">
        <v>99</v>
      </c>
      <c r="E18" t="s">
        <v>100</v>
      </c>
      <c r="F18" t="s">
        <v>96</v>
      </c>
      <c r="G18">
        <v>8</v>
      </c>
      <c r="H18">
        <v>160</v>
      </c>
      <c r="I18">
        <v>0</v>
      </c>
      <c r="J18">
        <v>160</v>
      </c>
      <c r="K18">
        <v>13.2</v>
      </c>
      <c r="L18">
        <v>30</v>
      </c>
      <c r="M18" t="s">
        <v>125</v>
      </c>
      <c r="N18" t="s">
        <v>117</v>
      </c>
    </row>
    <row r="19" spans="1:14" x14ac:dyDescent="0.3">
      <c r="A19" s="26">
        <v>45975</v>
      </c>
      <c r="B19" t="s">
        <v>123</v>
      </c>
      <c r="C19" t="s">
        <v>143</v>
      </c>
      <c r="D19" t="s">
        <v>110</v>
      </c>
      <c r="E19" t="s">
        <v>111</v>
      </c>
      <c r="F19" t="s">
        <v>112</v>
      </c>
      <c r="G19">
        <v>10</v>
      </c>
      <c r="H19">
        <v>120</v>
      </c>
      <c r="I19">
        <v>0</v>
      </c>
      <c r="J19">
        <v>120</v>
      </c>
      <c r="K19">
        <v>9.9</v>
      </c>
      <c r="L19">
        <v>0</v>
      </c>
      <c r="M19" t="s">
        <v>128</v>
      </c>
      <c r="N19" t="s">
        <v>115</v>
      </c>
    </row>
    <row r="20" spans="1:14" x14ac:dyDescent="0.3">
      <c r="A20" s="26">
        <v>45976</v>
      </c>
      <c r="B20" t="s">
        <v>123</v>
      </c>
      <c r="C20" t="s">
        <v>144</v>
      </c>
      <c r="D20" t="s">
        <v>94</v>
      </c>
      <c r="E20" t="s">
        <v>95</v>
      </c>
      <c r="F20" t="s">
        <v>96</v>
      </c>
      <c r="G20">
        <v>12</v>
      </c>
      <c r="H20">
        <v>180</v>
      </c>
      <c r="I20">
        <v>0</v>
      </c>
      <c r="J20">
        <v>180</v>
      </c>
      <c r="K20">
        <v>14.85</v>
      </c>
      <c r="L20">
        <v>40</v>
      </c>
      <c r="M20" t="s">
        <v>125</v>
      </c>
      <c r="N20" t="s">
        <v>115</v>
      </c>
    </row>
    <row r="21" spans="1:14" x14ac:dyDescent="0.3">
      <c r="A21" s="26">
        <v>45976</v>
      </c>
      <c r="B21" t="s">
        <v>123</v>
      </c>
      <c r="C21" t="s">
        <v>145</v>
      </c>
      <c r="D21" t="s">
        <v>99</v>
      </c>
      <c r="E21" t="s">
        <v>100</v>
      </c>
      <c r="F21" t="s">
        <v>96</v>
      </c>
      <c r="G21">
        <v>8</v>
      </c>
      <c r="H21">
        <v>160</v>
      </c>
      <c r="I21">
        <v>0</v>
      </c>
      <c r="J21">
        <v>160</v>
      </c>
      <c r="K21">
        <v>13.2</v>
      </c>
      <c r="L21">
        <v>30</v>
      </c>
      <c r="M21" t="s">
        <v>125</v>
      </c>
      <c r="N21" t="s">
        <v>117</v>
      </c>
    </row>
    <row r="22" spans="1:14" x14ac:dyDescent="0.3">
      <c r="A22" s="26">
        <v>45976</v>
      </c>
      <c r="B22" t="s">
        <v>123</v>
      </c>
      <c r="C22" t="s">
        <v>146</v>
      </c>
      <c r="D22" t="s">
        <v>110</v>
      </c>
      <c r="E22" t="s">
        <v>111</v>
      </c>
      <c r="F22" t="s">
        <v>112</v>
      </c>
      <c r="G22">
        <v>10</v>
      </c>
      <c r="H22">
        <v>120</v>
      </c>
      <c r="I22">
        <v>0</v>
      </c>
      <c r="J22">
        <v>120</v>
      </c>
      <c r="K22">
        <v>9.9</v>
      </c>
      <c r="L22">
        <v>0</v>
      </c>
      <c r="M22" t="s">
        <v>128</v>
      </c>
      <c r="N22" t="s">
        <v>115</v>
      </c>
    </row>
    <row r="23" spans="1:14" x14ac:dyDescent="0.3">
      <c r="A23" s="26">
        <v>45977</v>
      </c>
      <c r="B23" t="s">
        <v>123</v>
      </c>
      <c r="C23" t="s">
        <v>147</v>
      </c>
      <c r="D23" t="s">
        <v>94</v>
      </c>
      <c r="E23" t="s">
        <v>95</v>
      </c>
      <c r="F23" t="s">
        <v>96</v>
      </c>
      <c r="G23">
        <v>12</v>
      </c>
      <c r="H23">
        <v>180</v>
      </c>
      <c r="I23">
        <v>0</v>
      </c>
      <c r="J23">
        <v>180</v>
      </c>
      <c r="K23">
        <v>14.85</v>
      </c>
      <c r="L23">
        <v>40</v>
      </c>
      <c r="M23" t="s">
        <v>125</v>
      </c>
      <c r="N23" t="s">
        <v>115</v>
      </c>
    </row>
    <row r="24" spans="1:14" x14ac:dyDescent="0.3">
      <c r="A24" s="26">
        <v>45977</v>
      </c>
      <c r="B24" t="s">
        <v>123</v>
      </c>
      <c r="C24" t="s">
        <v>148</v>
      </c>
      <c r="D24" t="s">
        <v>99</v>
      </c>
      <c r="E24" t="s">
        <v>100</v>
      </c>
      <c r="F24" t="s">
        <v>96</v>
      </c>
      <c r="G24">
        <v>8</v>
      </c>
      <c r="H24">
        <v>160</v>
      </c>
      <c r="I24">
        <v>0</v>
      </c>
      <c r="J24">
        <v>160</v>
      </c>
      <c r="K24">
        <v>13.2</v>
      </c>
      <c r="L24">
        <v>30</v>
      </c>
      <c r="M24" t="s">
        <v>125</v>
      </c>
      <c r="N24" t="s">
        <v>117</v>
      </c>
    </row>
    <row r="25" spans="1:14" x14ac:dyDescent="0.3">
      <c r="A25" s="26">
        <v>45977</v>
      </c>
      <c r="B25" t="s">
        <v>123</v>
      </c>
      <c r="C25" t="s">
        <v>149</v>
      </c>
      <c r="D25" t="s">
        <v>110</v>
      </c>
      <c r="E25" t="s">
        <v>111</v>
      </c>
      <c r="F25" t="s">
        <v>112</v>
      </c>
      <c r="G25">
        <v>10</v>
      </c>
      <c r="H25">
        <v>120</v>
      </c>
      <c r="I25">
        <v>0</v>
      </c>
      <c r="J25">
        <v>120</v>
      </c>
      <c r="K25">
        <v>9.9</v>
      </c>
      <c r="L25">
        <v>0</v>
      </c>
      <c r="M25" t="s">
        <v>128</v>
      </c>
      <c r="N25" t="s">
        <v>115</v>
      </c>
    </row>
    <row r="26" spans="1:14" x14ac:dyDescent="0.3">
      <c r="A26" s="26">
        <v>45978</v>
      </c>
      <c r="B26" t="s">
        <v>123</v>
      </c>
      <c r="C26" t="s">
        <v>150</v>
      </c>
      <c r="D26" t="s">
        <v>94</v>
      </c>
      <c r="E26" t="s">
        <v>95</v>
      </c>
      <c r="F26" t="s">
        <v>96</v>
      </c>
      <c r="G26">
        <v>12</v>
      </c>
      <c r="H26">
        <v>180</v>
      </c>
      <c r="I26">
        <v>0</v>
      </c>
      <c r="J26">
        <v>180</v>
      </c>
      <c r="K26">
        <v>14.85</v>
      </c>
      <c r="L26">
        <v>40</v>
      </c>
      <c r="M26" t="s">
        <v>125</v>
      </c>
      <c r="N26" t="s">
        <v>115</v>
      </c>
    </row>
    <row r="27" spans="1:14" x14ac:dyDescent="0.3">
      <c r="A27" s="26">
        <v>45978</v>
      </c>
      <c r="B27" t="s">
        <v>123</v>
      </c>
      <c r="C27" t="s">
        <v>151</v>
      </c>
      <c r="D27" t="s">
        <v>99</v>
      </c>
      <c r="E27" t="s">
        <v>100</v>
      </c>
      <c r="F27" t="s">
        <v>96</v>
      </c>
      <c r="G27">
        <v>8</v>
      </c>
      <c r="H27">
        <v>160</v>
      </c>
      <c r="I27">
        <v>0</v>
      </c>
      <c r="J27">
        <v>160</v>
      </c>
      <c r="K27">
        <v>13.2</v>
      </c>
      <c r="L27">
        <v>30</v>
      </c>
      <c r="M27" t="s">
        <v>125</v>
      </c>
      <c r="N27" t="s">
        <v>117</v>
      </c>
    </row>
    <row r="28" spans="1:14" x14ac:dyDescent="0.3">
      <c r="A28" s="26">
        <v>45978</v>
      </c>
      <c r="B28" t="s">
        <v>123</v>
      </c>
      <c r="C28" t="s">
        <v>152</v>
      </c>
      <c r="D28" t="s">
        <v>110</v>
      </c>
      <c r="E28" t="s">
        <v>111</v>
      </c>
      <c r="F28" t="s">
        <v>112</v>
      </c>
      <c r="G28">
        <v>10</v>
      </c>
      <c r="H28">
        <v>120</v>
      </c>
      <c r="I28">
        <v>0</v>
      </c>
      <c r="J28">
        <v>120</v>
      </c>
      <c r="K28">
        <v>9.9</v>
      </c>
      <c r="L28">
        <v>0</v>
      </c>
      <c r="M28" t="s">
        <v>128</v>
      </c>
      <c r="N28" t="s">
        <v>115</v>
      </c>
    </row>
    <row r="29" spans="1:14" x14ac:dyDescent="0.3">
      <c r="A29" s="26">
        <v>45979</v>
      </c>
      <c r="B29" t="s">
        <v>123</v>
      </c>
      <c r="C29" t="s">
        <v>153</v>
      </c>
      <c r="D29" t="s">
        <v>94</v>
      </c>
      <c r="E29" t="s">
        <v>95</v>
      </c>
      <c r="F29" t="s">
        <v>96</v>
      </c>
      <c r="G29">
        <v>12</v>
      </c>
      <c r="H29">
        <v>180</v>
      </c>
      <c r="I29">
        <v>0</v>
      </c>
      <c r="J29">
        <v>180</v>
      </c>
      <c r="K29">
        <v>14.85</v>
      </c>
      <c r="L29">
        <v>40</v>
      </c>
      <c r="M29" t="s">
        <v>125</v>
      </c>
      <c r="N29" t="s">
        <v>115</v>
      </c>
    </row>
    <row r="30" spans="1:14" x14ac:dyDescent="0.3">
      <c r="A30" s="26">
        <v>45979</v>
      </c>
      <c r="B30" t="s">
        <v>123</v>
      </c>
      <c r="C30" t="s">
        <v>154</v>
      </c>
      <c r="D30" t="s">
        <v>99</v>
      </c>
      <c r="E30" t="s">
        <v>100</v>
      </c>
      <c r="F30" t="s">
        <v>96</v>
      </c>
      <c r="G30">
        <v>8</v>
      </c>
      <c r="H30">
        <v>160</v>
      </c>
      <c r="I30">
        <v>0</v>
      </c>
      <c r="J30">
        <v>160</v>
      </c>
      <c r="K30">
        <v>13.2</v>
      </c>
      <c r="L30">
        <v>30</v>
      </c>
      <c r="M30" t="s">
        <v>125</v>
      </c>
      <c r="N30" t="s">
        <v>117</v>
      </c>
    </row>
    <row r="31" spans="1:14" x14ac:dyDescent="0.3">
      <c r="A31" s="26">
        <v>45979</v>
      </c>
      <c r="B31" t="s">
        <v>123</v>
      </c>
      <c r="C31" t="s">
        <v>155</v>
      </c>
      <c r="D31" t="s">
        <v>110</v>
      </c>
      <c r="E31" t="s">
        <v>111</v>
      </c>
      <c r="F31" t="s">
        <v>112</v>
      </c>
      <c r="G31">
        <v>10</v>
      </c>
      <c r="H31">
        <v>120</v>
      </c>
      <c r="I31">
        <v>0</v>
      </c>
      <c r="J31">
        <v>120</v>
      </c>
      <c r="K31">
        <v>9.9</v>
      </c>
      <c r="L31">
        <v>0</v>
      </c>
      <c r="M31" t="s">
        <v>128</v>
      </c>
      <c r="N31" t="s">
        <v>115</v>
      </c>
    </row>
    <row r="32" spans="1:14" x14ac:dyDescent="0.3">
      <c r="A32" s="26">
        <v>45980</v>
      </c>
      <c r="B32" t="s">
        <v>123</v>
      </c>
      <c r="C32" t="s">
        <v>156</v>
      </c>
      <c r="D32" t="s">
        <v>94</v>
      </c>
      <c r="E32" t="s">
        <v>95</v>
      </c>
      <c r="F32" t="s">
        <v>96</v>
      </c>
      <c r="G32">
        <v>12</v>
      </c>
      <c r="H32">
        <v>180</v>
      </c>
      <c r="I32">
        <v>0</v>
      </c>
      <c r="J32">
        <v>180</v>
      </c>
      <c r="K32">
        <v>14.85</v>
      </c>
      <c r="L32">
        <v>40</v>
      </c>
      <c r="M32" t="s">
        <v>125</v>
      </c>
      <c r="N32" t="s">
        <v>115</v>
      </c>
    </row>
    <row r="33" spans="1:14" x14ac:dyDescent="0.3">
      <c r="A33" s="26">
        <v>45980</v>
      </c>
      <c r="B33" t="s">
        <v>123</v>
      </c>
      <c r="C33" t="s">
        <v>157</v>
      </c>
      <c r="D33" t="s">
        <v>99</v>
      </c>
      <c r="E33" t="s">
        <v>100</v>
      </c>
      <c r="F33" t="s">
        <v>96</v>
      </c>
      <c r="G33">
        <v>8</v>
      </c>
      <c r="H33">
        <v>160</v>
      </c>
      <c r="I33">
        <v>0</v>
      </c>
      <c r="J33">
        <v>160</v>
      </c>
      <c r="K33">
        <v>13.2</v>
      </c>
      <c r="L33">
        <v>30</v>
      </c>
      <c r="M33" t="s">
        <v>125</v>
      </c>
      <c r="N33" t="s">
        <v>117</v>
      </c>
    </row>
    <row r="34" spans="1:14" x14ac:dyDescent="0.3">
      <c r="A34" s="26">
        <v>45980</v>
      </c>
      <c r="B34" t="s">
        <v>123</v>
      </c>
      <c r="C34" t="s">
        <v>158</v>
      </c>
      <c r="D34" t="s">
        <v>110</v>
      </c>
      <c r="E34" t="s">
        <v>111</v>
      </c>
      <c r="F34" t="s">
        <v>112</v>
      </c>
      <c r="G34">
        <v>10</v>
      </c>
      <c r="H34">
        <v>120</v>
      </c>
      <c r="I34">
        <v>0</v>
      </c>
      <c r="J34">
        <v>120</v>
      </c>
      <c r="K34">
        <v>9.9</v>
      </c>
      <c r="L34">
        <v>0</v>
      </c>
      <c r="M34" t="s">
        <v>128</v>
      </c>
      <c r="N34" t="s">
        <v>115</v>
      </c>
    </row>
    <row r="35" spans="1:14" x14ac:dyDescent="0.3">
      <c r="A35" s="26">
        <v>45981</v>
      </c>
      <c r="B35" t="s">
        <v>123</v>
      </c>
      <c r="C35" t="s">
        <v>159</v>
      </c>
      <c r="D35" t="s">
        <v>94</v>
      </c>
      <c r="E35" t="s">
        <v>95</v>
      </c>
      <c r="F35" t="s">
        <v>96</v>
      </c>
      <c r="G35">
        <v>12</v>
      </c>
      <c r="H35">
        <v>180</v>
      </c>
      <c r="I35">
        <v>0</v>
      </c>
      <c r="J35">
        <v>180</v>
      </c>
      <c r="K35">
        <v>14.85</v>
      </c>
      <c r="L35">
        <v>40</v>
      </c>
      <c r="M35" t="s">
        <v>125</v>
      </c>
      <c r="N35" t="s">
        <v>115</v>
      </c>
    </row>
    <row r="36" spans="1:14" x14ac:dyDescent="0.3">
      <c r="A36" s="26">
        <v>45981</v>
      </c>
      <c r="B36" t="s">
        <v>123</v>
      </c>
      <c r="C36" t="s">
        <v>160</v>
      </c>
      <c r="D36" t="s">
        <v>99</v>
      </c>
      <c r="E36" t="s">
        <v>100</v>
      </c>
      <c r="F36" t="s">
        <v>96</v>
      </c>
      <c r="G36">
        <v>8</v>
      </c>
      <c r="H36">
        <v>160</v>
      </c>
      <c r="I36">
        <v>0</v>
      </c>
      <c r="J36">
        <v>160</v>
      </c>
      <c r="K36">
        <v>13.2</v>
      </c>
      <c r="L36">
        <v>30</v>
      </c>
      <c r="M36" t="s">
        <v>125</v>
      </c>
      <c r="N36" t="s">
        <v>117</v>
      </c>
    </row>
    <row r="37" spans="1:14" x14ac:dyDescent="0.3">
      <c r="A37" s="26">
        <v>45981</v>
      </c>
      <c r="B37" t="s">
        <v>123</v>
      </c>
      <c r="C37" t="s">
        <v>161</v>
      </c>
      <c r="D37" t="s">
        <v>110</v>
      </c>
      <c r="E37" t="s">
        <v>111</v>
      </c>
      <c r="F37" t="s">
        <v>112</v>
      </c>
      <c r="G37">
        <v>10</v>
      </c>
      <c r="H37">
        <v>120</v>
      </c>
      <c r="I37">
        <v>0</v>
      </c>
      <c r="J37">
        <v>120</v>
      </c>
      <c r="K37">
        <v>9.9</v>
      </c>
      <c r="L37">
        <v>0</v>
      </c>
      <c r="M37" t="s">
        <v>128</v>
      </c>
      <c r="N37" t="s">
        <v>115</v>
      </c>
    </row>
    <row r="38" spans="1:14" x14ac:dyDescent="0.3">
      <c r="A38" s="26">
        <v>45982</v>
      </c>
      <c r="B38" t="s">
        <v>123</v>
      </c>
      <c r="C38" t="s">
        <v>162</v>
      </c>
      <c r="D38" t="s">
        <v>94</v>
      </c>
      <c r="E38" t="s">
        <v>95</v>
      </c>
      <c r="F38" t="s">
        <v>96</v>
      </c>
      <c r="G38">
        <v>12</v>
      </c>
      <c r="H38">
        <v>180</v>
      </c>
      <c r="I38">
        <v>0</v>
      </c>
      <c r="J38">
        <v>180</v>
      </c>
      <c r="K38">
        <v>14.85</v>
      </c>
      <c r="L38">
        <v>40</v>
      </c>
      <c r="M38" t="s">
        <v>125</v>
      </c>
      <c r="N38" t="s">
        <v>115</v>
      </c>
    </row>
    <row r="39" spans="1:14" x14ac:dyDescent="0.3">
      <c r="A39" s="26">
        <v>45982</v>
      </c>
      <c r="B39" t="s">
        <v>123</v>
      </c>
      <c r="C39" t="s">
        <v>163</v>
      </c>
      <c r="D39" t="s">
        <v>99</v>
      </c>
      <c r="E39" t="s">
        <v>100</v>
      </c>
      <c r="F39" t="s">
        <v>96</v>
      </c>
      <c r="G39">
        <v>8</v>
      </c>
      <c r="H39">
        <v>160</v>
      </c>
      <c r="I39">
        <v>0</v>
      </c>
      <c r="J39">
        <v>160</v>
      </c>
      <c r="K39">
        <v>13.2</v>
      </c>
      <c r="L39">
        <v>30</v>
      </c>
      <c r="M39" t="s">
        <v>125</v>
      </c>
      <c r="N39" t="s">
        <v>117</v>
      </c>
    </row>
    <row r="40" spans="1:14" x14ac:dyDescent="0.3">
      <c r="A40" s="26">
        <v>45982</v>
      </c>
      <c r="B40" t="s">
        <v>123</v>
      </c>
      <c r="C40" t="s">
        <v>164</v>
      </c>
      <c r="D40" t="s">
        <v>110</v>
      </c>
      <c r="E40" t="s">
        <v>111</v>
      </c>
      <c r="F40" t="s">
        <v>112</v>
      </c>
      <c r="G40">
        <v>10</v>
      </c>
      <c r="H40">
        <v>120</v>
      </c>
      <c r="I40">
        <v>0</v>
      </c>
      <c r="J40">
        <v>120</v>
      </c>
      <c r="K40">
        <v>9.9</v>
      </c>
      <c r="L40">
        <v>0</v>
      </c>
      <c r="M40" t="s">
        <v>128</v>
      </c>
      <c r="N40" t="s">
        <v>115</v>
      </c>
    </row>
    <row r="41" spans="1:14" x14ac:dyDescent="0.3">
      <c r="A41" s="26">
        <v>45983</v>
      </c>
      <c r="B41" t="s">
        <v>123</v>
      </c>
      <c r="C41" t="s">
        <v>165</v>
      </c>
      <c r="D41" t="s">
        <v>94</v>
      </c>
      <c r="E41" t="s">
        <v>95</v>
      </c>
      <c r="F41" t="s">
        <v>96</v>
      </c>
      <c r="G41">
        <v>12</v>
      </c>
      <c r="H41">
        <v>180</v>
      </c>
      <c r="I41">
        <v>0</v>
      </c>
      <c r="J41">
        <v>180</v>
      </c>
      <c r="K41">
        <v>14.85</v>
      </c>
      <c r="L41">
        <v>40</v>
      </c>
      <c r="M41" t="s">
        <v>125</v>
      </c>
      <c r="N41" t="s">
        <v>115</v>
      </c>
    </row>
    <row r="42" spans="1:14" x14ac:dyDescent="0.3">
      <c r="A42" s="26">
        <v>45983</v>
      </c>
      <c r="B42" t="s">
        <v>123</v>
      </c>
      <c r="C42" t="s">
        <v>166</v>
      </c>
      <c r="D42" t="s">
        <v>99</v>
      </c>
      <c r="E42" t="s">
        <v>100</v>
      </c>
      <c r="F42" t="s">
        <v>96</v>
      </c>
      <c r="G42">
        <v>8</v>
      </c>
      <c r="H42">
        <v>160</v>
      </c>
      <c r="I42">
        <v>0</v>
      </c>
      <c r="J42">
        <v>160</v>
      </c>
      <c r="K42">
        <v>13.2</v>
      </c>
      <c r="L42">
        <v>30</v>
      </c>
      <c r="M42" t="s">
        <v>125</v>
      </c>
      <c r="N42" t="s">
        <v>117</v>
      </c>
    </row>
    <row r="43" spans="1:14" x14ac:dyDescent="0.3">
      <c r="A43" s="26">
        <v>45983</v>
      </c>
      <c r="B43" t="s">
        <v>123</v>
      </c>
      <c r="C43" t="s">
        <v>167</v>
      </c>
      <c r="D43" t="s">
        <v>110</v>
      </c>
      <c r="E43" t="s">
        <v>111</v>
      </c>
      <c r="F43" t="s">
        <v>112</v>
      </c>
      <c r="G43">
        <v>10</v>
      </c>
      <c r="H43">
        <v>120</v>
      </c>
      <c r="I43">
        <v>0</v>
      </c>
      <c r="J43">
        <v>120</v>
      </c>
      <c r="K43">
        <v>9.9</v>
      </c>
      <c r="L43">
        <v>0</v>
      </c>
      <c r="M43" t="s">
        <v>128</v>
      </c>
      <c r="N43" t="s">
        <v>115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2D100-DB45-4580-BF8A-36054188BACC}">
  <sheetPr codeName="Sheet10"/>
  <dimension ref="A1:F1"/>
  <sheetViews>
    <sheetView workbookViewId="0"/>
  </sheetViews>
  <sheetFormatPr defaultRowHeight="14.4" x14ac:dyDescent="0.3"/>
  <cols>
    <col min="1" max="1" width="11.6640625" customWidth="1"/>
    <col min="3" max="3" width="11.77734375" customWidth="1"/>
    <col min="4" max="4" width="14.21875" customWidth="1"/>
    <col min="6" max="6" width="11.88671875" customWidth="1"/>
  </cols>
  <sheetData>
    <row r="1" spans="1:6" x14ac:dyDescent="0.3">
      <c r="A1" t="s">
        <v>20</v>
      </c>
      <c r="B1" t="s">
        <v>3</v>
      </c>
      <c r="C1" t="s">
        <v>4</v>
      </c>
      <c r="D1" t="s">
        <v>21</v>
      </c>
      <c r="E1" t="s">
        <v>22</v>
      </c>
      <c r="F1" t="s">
        <v>23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8DC9E-F5BB-48EF-891D-C6E71153D276}">
  <sheetPr codeName="Sheet11"/>
  <dimension ref="A1:H3"/>
  <sheetViews>
    <sheetView workbookViewId="0"/>
  </sheetViews>
  <sheetFormatPr defaultRowHeight="14.4" x14ac:dyDescent="0.3"/>
  <cols>
    <col min="1" max="1" width="13.5546875" customWidth="1"/>
    <col min="3" max="3" width="11.21875" customWidth="1"/>
    <col min="5" max="5" width="11.77734375" customWidth="1"/>
    <col min="6" max="6" width="15.21875" customWidth="1"/>
    <col min="7" max="7" width="10.109375" customWidth="1"/>
    <col min="8" max="8" width="10.77734375" customWidth="1"/>
  </cols>
  <sheetData>
    <row r="1" spans="1:8" x14ac:dyDescent="0.3">
      <c r="A1" t="s">
        <v>24</v>
      </c>
      <c r="B1" t="s">
        <v>16</v>
      </c>
      <c r="C1" t="s">
        <v>25</v>
      </c>
      <c r="D1" t="s">
        <v>3</v>
      </c>
      <c r="E1" t="s">
        <v>4</v>
      </c>
      <c r="F1" t="s">
        <v>26</v>
      </c>
      <c r="G1" t="s">
        <v>27</v>
      </c>
      <c r="H1" t="s">
        <v>28</v>
      </c>
    </row>
    <row r="2" spans="1:8" x14ac:dyDescent="0.3">
      <c r="A2" s="26">
        <v>45969</v>
      </c>
      <c r="B2" t="s">
        <v>98</v>
      </c>
      <c r="C2" t="s">
        <v>121</v>
      </c>
      <c r="D2" t="s">
        <v>94</v>
      </c>
      <c r="E2" t="s">
        <v>95</v>
      </c>
      <c r="F2">
        <v>6</v>
      </c>
      <c r="G2">
        <v>18.5</v>
      </c>
      <c r="H2">
        <v>111</v>
      </c>
    </row>
    <row r="3" spans="1:8" x14ac:dyDescent="0.3">
      <c r="A3" s="26">
        <v>45972</v>
      </c>
      <c r="B3" t="s">
        <v>105</v>
      </c>
      <c r="C3" t="s">
        <v>122</v>
      </c>
      <c r="D3" t="s">
        <v>101</v>
      </c>
      <c r="E3" t="s">
        <v>102</v>
      </c>
      <c r="F3">
        <v>2</v>
      </c>
      <c r="G3">
        <v>145</v>
      </c>
      <c r="H3">
        <v>290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B2ACC-F32E-465E-9BCC-1A0ABA788B5D}">
  <sheetPr codeName="Sheet12"/>
  <dimension ref="A1:F4"/>
  <sheetViews>
    <sheetView workbookViewId="0"/>
  </sheetViews>
  <sheetFormatPr defaultRowHeight="14.4" x14ac:dyDescent="0.3"/>
  <cols>
    <col min="2" max="2" width="11.77734375" customWidth="1"/>
    <col min="4" max="4" width="12.109375" customWidth="1"/>
    <col min="5" max="5" width="13" customWidth="1"/>
  </cols>
  <sheetData>
    <row r="1" spans="1:6" x14ac:dyDescent="0.3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19</v>
      </c>
    </row>
    <row r="2" spans="1:6" x14ac:dyDescent="0.3">
      <c r="A2" t="s">
        <v>114</v>
      </c>
      <c r="B2" t="s">
        <v>115</v>
      </c>
      <c r="C2" t="s">
        <v>13</v>
      </c>
      <c r="D2">
        <v>12.5</v>
      </c>
      <c r="E2">
        <v>0.6</v>
      </c>
      <c r="F2" t="b">
        <v>1</v>
      </c>
    </row>
    <row r="3" spans="1:6" x14ac:dyDescent="0.3">
      <c r="A3" t="s">
        <v>116</v>
      </c>
      <c r="B3" t="s">
        <v>117</v>
      </c>
      <c r="C3" t="s">
        <v>13</v>
      </c>
      <c r="D3">
        <v>12.5</v>
      </c>
      <c r="E3">
        <v>0.4</v>
      </c>
      <c r="F3" t="b">
        <v>1</v>
      </c>
    </row>
    <row r="4" spans="1:6" x14ac:dyDescent="0.3">
      <c r="A4" t="s">
        <v>118</v>
      </c>
      <c r="B4" t="s">
        <v>119</v>
      </c>
      <c r="C4" t="s">
        <v>120</v>
      </c>
      <c r="D4">
        <v>10</v>
      </c>
      <c r="E4">
        <v>0</v>
      </c>
      <c r="F4" t="b">
        <v>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35A18-ACDB-4219-9685-AB2C7DD8F8B6}">
  <sheetPr codeName="Sheet13"/>
  <dimension ref="A1:J7"/>
  <sheetViews>
    <sheetView workbookViewId="0">
      <selection activeCell="J8" sqref="J8"/>
    </sheetView>
  </sheetViews>
  <sheetFormatPr defaultRowHeight="14.4" x14ac:dyDescent="0.3"/>
  <cols>
    <col min="2" max="2" width="11.77734375" customWidth="1"/>
    <col min="3" max="4" width="10.21875" customWidth="1"/>
    <col min="6" max="6" width="12.88671875" customWidth="1"/>
    <col min="8" max="8" width="14.33203125" customWidth="1"/>
    <col min="9" max="9" width="18.109375" customWidth="1"/>
  </cols>
  <sheetData>
    <row r="1" spans="1:10" x14ac:dyDescent="0.3">
      <c r="A1" t="s">
        <v>3</v>
      </c>
      <c r="B1" t="s">
        <v>4</v>
      </c>
      <c r="C1" t="s">
        <v>5</v>
      </c>
      <c r="D1" t="s">
        <v>202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</row>
    <row r="2" spans="1:10" x14ac:dyDescent="0.3">
      <c r="A2" t="s">
        <v>94</v>
      </c>
      <c r="B2" t="s">
        <v>95</v>
      </c>
      <c r="C2" t="s">
        <v>96</v>
      </c>
      <c r="D2" t="s">
        <v>97</v>
      </c>
      <c r="E2">
        <v>1000</v>
      </c>
      <c r="F2">
        <v>18.5</v>
      </c>
      <c r="G2" t="s">
        <v>98</v>
      </c>
      <c r="H2">
        <v>12</v>
      </c>
      <c r="I2">
        <v>4</v>
      </c>
      <c r="J2" t="b">
        <v>1</v>
      </c>
    </row>
    <row r="3" spans="1:10" x14ac:dyDescent="0.3">
      <c r="A3" t="s">
        <v>99</v>
      </c>
      <c r="B3" t="s">
        <v>100</v>
      </c>
      <c r="C3" t="s">
        <v>96</v>
      </c>
      <c r="D3" t="s">
        <v>97</v>
      </c>
      <c r="E3">
        <v>750</v>
      </c>
      <c r="F3">
        <v>24</v>
      </c>
      <c r="G3" t="s">
        <v>98</v>
      </c>
      <c r="H3">
        <v>10</v>
      </c>
      <c r="I3">
        <v>3</v>
      </c>
      <c r="J3" t="b">
        <v>1</v>
      </c>
    </row>
    <row r="4" spans="1:10" x14ac:dyDescent="0.3">
      <c r="A4" t="s">
        <v>101</v>
      </c>
      <c r="B4" t="s">
        <v>102</v>
      </c>
      <c r="C4" t="s">
        <v>103</v>
      </c>
      <c r="D4" t="s">
        <v>104</v>
      </c>
      <c r="E4">
        <v>0</v>
      </c>
      <c r="F4">
        <v>145</v>
      </c>
      <c r="G4" t="s">
        <v>105</v>
      </c>
      <c r="H4">
        <v>6</v>
      </c>
      <c r="I4">
        <v>2</v>
      </c>
      <c r="J4" t="b">
        <v>1</v>
      </c>
    </row>
    <row r="5" spans="1:10" x14ac:dyDescent="0.3">
      <c r="A5" t="s">
        <v>106</v>
      </c>
      <c r="B5" t="s">
        <v>107</v>
      </c>
      <c r="C5" t="s">
        <v>108</v>
      </c>
      <c r="D5" t="s">
        <v>97</v>
      </c>
      <c r="E5">
        <v>750</v>
      </c>
      <c r="F5">
        <v>12</v>
      </c>
      <c r="G5" t="s">
        <v>109</v>
      </c>
      <c r="H5">
        <v>18</v>
      </c>
      <c r="I5">
        <v>6</v>
      </c>
      <c r="J5" t="b">
        <v>1</v>
      </c>
    </row>
    <row r="6" spans="1:10" x14ac:dyDescent="0.3">
      <c r="A6" t="s">
        <v>110</v>
      </c>
      <c r="B6" t="s">
        <v>111</v>
      </c>
      <c r="C6" t="s">
        <v>112</v>
      </c>
      <c r="D6" t="s">
        <v>112</v>
      </c>
      <c r="E6">
        <v>0</v>
      </c>
      <c r="F6">
        <v>4</v>
      </c>
      <c r="G6" t="s">
        <v>113</v>
      </c>
      <c r="H6">
        <v>0</v>
      </c>
      <c r="I6">
        <v>0</v>
      </c>
      <c r="J6" t="b">
        <v>1</v>
      </c>
    </row>
    <row r="7" spans="1:10" x14ac:dyDescent="0.3">
      <c r="A7" t="s">
        <v>214</v>
      </c>
      <c r="B7" t="s">
        <v>213</v>
      </c>
      <c r="C7" t="s">
        <v>103</v>
      </c>
      <c r="D7" t="s">
        <v>104</v>
      </c>
      <c r="E7">
        <v>0</v>
      </c>
      <c r="F7">
        <v>225</v>
      </c>
      <c r="G7" t="s">
        <v>105</v>
      </c>
      <c r="H7">
        <v>6</v>
      </c>
      <c r="I7">
        <v>2</v>
      </c>
      <c r="J7" t="b">
        <v>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D2A8C-1BF6-4258-BDD1-319E0153C133}">
  <sheetPr codeName="Sheet14"/>
  <dimension ref="A1:AA7"/>
  <sheetViews>
    <sheetView workbookViewId="0">
      <selection activeCell="Z2" sqref="Z2"/>
    </sheetView>
  </sheetViews>
  <sheetFormatPr defaultRowHeight="14.4" x14ac:dyDescent="0.3"/>
  <cols>
    <col min="1" max="1" width="27.5546875" bestFit="1" customWidth="1"/>
    <col min="2" max="2" width="7" bestFit="1" customWidth="1"/>
  </cols>
  <sheetData>
    <row r="1" spans="1:27" x14ac:dyDescent="0.3">
      <c r="A1" t="s">
        <v>46</v>
      </c>
      <c r="B1" t="s">
        <v>47</v>
      </c>
      <c r="AA1">
        <v>1005</v>
      </c>
    </row>
    <row r="2" spans="1:27" x14ac:dyDescent="0.3">
      <c r="A2" t="s">
        <v>48</v>
      </c>
      <c r="B2">
        <v>1.5</v>
      </c>
      <c r="Z2">
        <v>22</v>
      </c>
    </row>
    <row r="3" spans="1:27" x14ac:dyDescent="0.3">
      <c r="A3" t="s">
        <v>49</v>
      </c>
      <c r="B3">
        <v>8.2500000000000004E-2</v>
      </c>
    </row>
    <row r="4" spans="1:27" x14ac:dyDescent="0.3">
      <c r="A4" t="s">
        <v>50</v>
      </c>
      <c r="B4">
        <v>0.1</v>
      </c>
    </row>
    <row r="5" spans="1:27" x14ac:dyDescent="0.3">
      <c r="A5" t="s">
        <v>51</v>
      </c>
      <c r="B5">
        <v>0.25</v>
      </c>
    </row>
    <row r="6" spans="1:27" x14ac:dyDescent="0.3">
      <c r="A6" t="s">
        <v>78</v>
      </c>
      <c r="B6">
        <v>0.2</v>
      </c>
    </row>
    <row r="7" spans="1:27" x14ac:dyDescent="0.3">
      <c r="A7" t="s">
        <v>212</v>
      </c>
      <c r="B7">
        <v>9.8000000000000004E-2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5B35E-0DF2-48F9-A65A-7BBAB22DA079}">
  <sheetPr codeName="Sheet15"/>
  <dimension ref="A1:Q17"/>
  <sheetViews>
    <sheetView workbookViewId="0"/>
  </sheetViews>
  <sheetFormatPr defaultRowHeight="14.4" x14ac:dyDescent="0.3"/>
  <cols>
    <col min="1" max="1" width="30.5546875" bestFit="1" customWidth="1"/>
    <col min="6" max="6" width="11.5546875" bestFit="1" customWidth="1"/>
    <col min="11" max="11" width="14.21875" bestFit="1" customWidth="1"/>
  </cols>
  <sheetData>
    <row r="1" spans="1:17" x14ac:dyDescent="0.3">
      <c r="A1" s="29" t="s">
        <v>168</v>
      </c>
      <c r="F1" s="29" t="s">
        <v>74</v>
      </c>
      <c r="K1" s="29" t="s">
        <v>76</v>
      </c>
      <c r="P1" t="s">
        <v>75</v>
      </c>
    </row>
    <row r="2" spans="1:17" x14ac:dyDescent="0.3">
      <c r="P2" s="29" t="s">
        <v>4</v>
      </c>
      <c r="Q2" s="29" t="s">
        <v>60</v>
      </c>
    </row>
    <row r="3" spans="1:17" x14ac:dyDescent="0.3">
      <c r="A3" s="27" t="s">
        <v>0</v>
      </c>
      <c r="B3" t="s">
        <v>65</v>
      </c>
      <c r="F3" s="27" t="s">
        <v>5</v>
      </c>
      <c r="G3" t="s">
        <v>65</v>
      </c>
      <c r="K3" s="27" t="s">
        <v>13</v>
      </c>
      <c r="L3" t="s">
        <v>65</v>
      </c>
      <c r="P3" t="s">
        <v>95</v>
      </c>
      <c r="Q3" s="30">
        <v>0</v>
      </c>
    </row>
    <row r="4" spans="1:17" x14ac:dyDescent="0.3">
      <c r="A4" s="26">
        <v>45970</v>
      </c>
      <c r="B4" s="28">
        <v>460</v>
      </c>
      <c r="F4" t="s">
        <v>112</v>
      </c>
      <c r="G4" s="28">
        <v>1680</v>
      </c>
      <c r="K4" t="s">
        <v>115</v>
      </c>
      <c r="L4" s="28">
        <v>4200</v>
      </c>
      <c r="P4" t="s">
        <v>100</v>
      </c>
      <c r="Q4" s="30">
        <v>0</v>
      </c>
    </row>
    <row r="5" spans="1:17" x14ac:dyDescent="0.3">
      <c r="A5" s="26">
        <v>45971</v>
      </c>
      <c r="B5" s="28">
        <v>460</v>
      </c>
      <c r="F5" t="s">
        <v>96</v>
      </c>
      <c r="G5" s="28">
        <v>4760</v>
      </c>
      <c r="K5" t="s">
        <v>117</v>
      </c>
      <c r="L5" s="28">
        <v>2240</v>
      </c>
      <c r="P5" t="s">
        <v>102</v>
      </c>
      <c r="Q5" s="30">
        <v>0</v>
      </c>
    </row>
    <row r="6" spans="1:17" x14ac:dyDescent="0.3">
      <c r="A6" s="26">
        <v>45972</v>
      </c>
      <c r="B6" s="28">
        <v>460</v>
      </c>
      <c r="P6" t="s">
        <v>107</v>
      </c>
      <c r="Q6" s="30">
        <v>0</v>
      </c>
    </row>
    <row r="7" spans="1:17" x14ac:dyDescent="0.3">
      <c r="A7" s="26">
        <v>45973</v>
      </c>
      <c r="B7" s="28">
        <v>460</v>
      </c>
      <c r="P7" t="s">
        <v>111</v>
      </c>
      <c r="Q7" s="30">
        <v>0</v>
      </c>
    </row>
    <row r="8" spans="1:17" x14ac:dyDescent="0.3">
      <c r="A8" s="26">
        <v>45974</v>
      </c>
      <c r="B8" s="28">
        <v>460</v>
      </c>
      <c r="Q8" s="30"/>
    </row>
    <row r="9" spans="1:17" x14ac:dyDescent="0.3">
      <c r="A9" s="26">
        <v>45975</v>
      </c>
      <c r="B9" s="28">
        <v>460</v>
      </c>
      <c r="Q9" s="30"/>
    </row>
    <row r="10" spans="1:17" x14ac:dyDescent="0.3">
      <c r="A10" s="26">
        <v>45976</v>
      </c>
      <c r="B10" s="28">
        <v>460</v>
      </c>
      <c r="Q10" s="30"/>
    </row>
    <row r="11" spans="1:17" x14ac:dyDescent="0.3">
      <c r="A11" s="26">
        <v>45977</v>
      </c>
      <c r="B11" s="28">
        <v>460</v>
      </c>
      <c r="Q11" s="30"/>
    </row>
    <row r="12" spans="1:17" x14ac:dyDescent="0.3">
      <c r="A12" s="26">
        <v>45978</v>
      </c>
      <c r="B12" s="28">
        <v>460</v>
      </c>
      <c r="Q12" s="30"/>
    </row>
    <row r="13" spans="1:17" x14ac:dyDescent="0.3">
      <c r="A13" s="26">
        <v>45979</v>
      </c>
      <c r="B13" s="28">
        <v>460</v>
      </c>
    </row>
    <row r="14" spans="1:17" x14ac:dyDescent="0.3">
      <c r="A14" s="26">
        <v>45980</v>
      </c>
      <c r="B14" s="28">
        <v>460</v>
      </c>
    </row>
    <row r="15" spans="1:17" x14ac:dyDescent="0.3">
      <c r="A15" s="26">
        <v>45981</v>
      </c>
      <c r="B15" s="28">
        <v>460</v>
      </c>
    </row>
    <row r="16" spans="1:17" x14ac:dyDescent="0.3">
      <c r="A16" s="26">
        <v>45982</v>
      </c>
      <c r="B16" s="28">
        <v>460</v>
      </c>
    </row>
    <row r="17" spans="1:2" x14ac:dyDescent="0.3">
      <c r="A17" s="26">
        <v>45983</v>
      </c>
      <c r="B17" s="28">
        <v>460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FEF81-E70D-4B72-904E-C89D52913FB1}">
  <sheetPr codeName="Sheet16"/>
  <dimension ref="A3:Q38"/>
  <sheetViews>
    <sheetView workbookViewId="0">
      <selection activeCell="A32" sqref="A32:H38"/>
    </sheetView>
  </sheetViews>
  <sheetFormatPr defaultRowHeight="14.4" x14ac:dyDescent="0.3"/>
  <cols>
    <col min="1" max="26" width="16.77734375" style="1" customWidth="1"/>
    <col min="27" max="16384" width="8.88671875" style="1"/>
  </cols>
  <sheetData>
    <row r="3" spans="1:17" x14ac:dyDescent="0.3">
      <c r="A3" s="2" t="s">
        <v>90</v>
      </c>
    </row>
    <row r="4" spans="1:17" x14ac:dyDescent="0.3">
      <c r="A4" s="2" t="s">
        <v>91</v>
      </c>
    </row>
    <row r="5" spans="1:17" ht="25.8" x14ac:dyDescent="0.3">
      <c r="A5" s="87" t="s">
        <v>67</v>
      </c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10"/>
      <c r="P5" s="10"/>
      <c r="Q5" s="11" t="s">
        <v>77</v>
      </c>
    </row>
    <row r="6" spans="1:17" ht="15" thickBot="1" x14ac:dyDescent="0.35">
      <c r="A6" s="12"/>
      <c r="Q6" s="13"/>
    </row>
    <row r="7" spans="1:17" x14ac:dyDescent="0.3">
      <c r="A7" s="89" t="s">
        <v>68</v>
      </c>
      <c r="B7" s="78"/>
      <c r="C7" s="79"/>
      <c r="D7" s="77" t="s">
        <v>69</v>
      </c>
      <c r="E7" s="78"/>
      <c r="F7" s="79"/>
      <c r="G7" s="77" t="s">
        <v>70</v>
      </c>
      <c r="H7" s="78"/>
      <c r="I7" s="79"/>
      <c r="J7" s="77" t="s">
        <v>71</v>
      </c>
      <c r="K7" s="78"/>
      <c r="L7" s="79"/>
      <c r="M7" s="77" t="s">
        <v>72</v>
      </c>
      <c r="N7" s="79"/>
      <c r="Q7" s="13"/>
    </row>
    <row r="8" spans="1:17" x14ac:dyDescent="0.3">
      <c r="A8" s="90"/>
      <c r="B8" s="81"/>
      <c r="C8" s="82"/>
      <c r="D8" s="80"/>
      <c r="E8" s="81"/>
      <c r="F8" s="82"/>
      <c r="G8" s="80"/>
      <c r="H8" s="81"/>
      <c r="I8" s="82"/>
      <c r="J8" s="80"/>
      <c r="K8" s="81"/>
      <c r="L8" s="82"/>
      <c r="M8" s="80"/>
      <c r="N8" s="82"/>
      <c r="Q8" s="13"/>
    </row>
    <row r="9" spans="1:17" x14ac:dyDescent="0.3">
      <c r="A9" s="90"/>
      <c r="B9" s="81"/>
      <c r="C9" s="82"/>
      <c r="D9" s="80"/>
      <c r="E9" s="81"/>
      <c r="F9" s="82"/>
      <c r="G9" s="80"/>
      <c r="H9" s="81"/>
      <c r="I9" s="82"/>
      <c r="J9" s="80"/>
      <c r="K9" s="81"/>
      <c r="L9" s="82"/>
      <c r="M9" s="80"/>
      <c r="N9" s="82"/>
      <c r="Q9" s="13"/>
    </row>
    <row r="10" spans="1:17" ht="15" thickBot="1" x14ac:dyDescent="0.35">
      <c r="A10" s="91"/>
      <c r="B10" s="84"/>
      <c r="C10" s="85"/>
      <c r="D10" s="86"/>
      <c r="E10" s="84"/>
      <c r="F10" s="85"/>
      <c r="G10" s="86"/>
      <c r="H10" s="84"/>
      <c r="I10" s="85"/>
      <c r="J10" s="86"/>
      <c r="K10" s="84"/>
      <c r="L10" s="85"/>
      <c r="M10" s="86"/>
      <c r="N10" s="85"/>
      <c r="Q10" s="13"/>
    </row>
    <row r="11" spans="1:17" x14ac:dyDescent="0.3">
      <c r="A11" s="12"/>
      <c r="Q11" s="13"/>
    </row>
    <row r="12" spans="1:17" x14ac:dyDescent="0.3">
      <c r="A12" s="14" t="s">
        <v>73</v>
      </c>
      <c r="H12" s="2" t="s">
        <v>74</v>
      </c>
      <c r="Q12" s="13"/>
    </row>
    <row r="13" spans="1:17" x14ac:dyDescent="0.3">
      <c r="A13" s="12"/>
      <c r="Q13" s="13"/>
    </row>
    <row r="14" spans="1:17" x14ac:dyDescent="0.3">
      <c r="A14" s="12"/>
      <c r="Q14" s="13"/>
    </row>
    <row r="15" spans="1:17" x14ac:dyDescent="0.3">
      <c r="A15" s="12"/>
      <c r="Q15" s="13"/>
    </row>
    <row r="16" spans="1:17" x14ac:dyDescent="0.3">
      <c r="A16" s="12"/>
      <c r="Q16" s="13"/>
    </row>
    <row r="17" spans="1:17" x14ac:dyDescent="0.3">
      <c r="A17" s="12"/>
      <c r="Q17" s="13"/>
    </row>
    <row r="18" spans="1:17" x14ac:dyDescent="0.3">
      <c r="A18" s="12"/>
      <c r="Q18" s="13"/>
    </row>
    <row r="19" spans="1:17" x14ac:dyDescent="0.3">
      <c r="A19" s="12"/>
      <c r="Q19" s="13"/>
    </row>
    <row r="20" spans="1:17" x14ac:dyDescent="0.3">
      <c r="A20" s="12"/>
      <c r="Q20" s="13"/>
    </row>
    <row r="21" spans="1:17" x14ac:dyDescent="0.3">
      <c r="A21" s="12"/>
      <c r="Q21" s="13"/>
    </row>
    <row r="22" spans="1:17" x14ac:dyDescent="0.3">
      <c r="A22" s="12"/>
      <c r="Q22" s="13"/>
    </row>
    <row r="23" spans="1:17" x14ac:dyDescent="0.3">
      <c r="A23" s="12"/>
      <c r="Q23" s="13"/>
    </row>
    <row r="24" spans="1:17" x14ac:dyDescent="0.3">
      <c r="A24" s="12"/>
      <c r="Q24" s="13"/>
    </row>
    <row r="25" spans="1:17" x14ac:dyDescent="0.3">
      <c r="A25" s="12"/>
      <c r="Q25" s="13"/>
    </row>
    <row r="26" spans="1:17" x14ac:dyDescent="0.3">
      <c r="A26" s="15" t="s">
        <v>75</v>
      </c>
      <c r="B26" s="16"/>
      <c r="C26" s="16"/>
      <c r="D26" s="16"/>
      <c r="E26" s="16"/>
      <c r="F26" s="16"/>
      <c r="G26" s="16"/>
      <c r="H26" s="17" t="s">
        <v>76</v>
      </c>
      <c r="I26" s="16"/>
      <c r="J26" s="16"/>
      <c r="K26" s="16"/>
      <c r="L26" s="16"/>
      <c r="M26" s="16"/>
      <c r="N26" s="16"/>
      <c r="O26" s="16"/>
      <c r="P26" s="16"/>
      <c r="Q26" s="18"/>
    </row>
    <row r="28" spans="1:17" x14ac:dyDescent="0.3">
      <c r="A28" s="2" t="s">
        <v>92</v>
      </c>
    </row>
    <row r="29" spans="1:17" x14ac:dyDescent="0.3">
      <c r="A29" s="19" t="s">
        <v>3</v>
      </c>
      <c r="B29" s="20" t="s">
        <v>4</v>
      </c>
      <c r="C29" s="20" t="s">
        <v>5</v>
      </c>
      <c r="D29" s="20" t="s">
        <v>52</v>
      </c>
      <c r="E29" s="20" t="s">
        <v>53</v>
      </c>
      <c r="F29" s="20" t="s">
        <v>54</v>
      </c>
      <c r="G29" s="20" t="s">
        <v>55</v>
      </c>
      <c r="H29" s="20" t="s">
        <v>27</v>
      </c>
      <c r="I29" s="20" t="s">
        <v>56</v>
      </c>
      <c r="J29" s="20" t="s">
        <v>57</v>
      </c>
      <c r="K29" s="20" t="s">
        <v>58</v>
      </c>
      <c r="L29" s="20" t="s">
        <v>59</v>
      </c>
      <c r="M29" s="20" t="s">
        <v>60</v>
      </c>
      <c r="N29" s="21" t="s">
        <v>61</v>
      </c>
    </row>
    <row r="31" spans="1:17" x14ac:dyDescent="0.3">
      <c r="A31" s="2" t="s">
        <v>93</v>
      </c>
    </row>
    <row r="32" spans="1:17" ht="21" x14ac:dyDescent="0.4">
      <c r="A32" s="22" t="s">
        <v>86</v>
      </c>
      <c r="B32" s="10"/>
      <c r="C32" s="10"/>
      <c r="D32" s="10"/>
      <c r="E32" s="10"/>
      <c r="F32" s="10"/>
      <c r="G32" s="10"/>
      <c r="H32" s="23"/>
    </row>
    <row r="33" spans="1:8" x14ac:dyDescent="0.3">
      <c r="A33" s="12"/>
      <c r="H33" s="13"/>
    </row>
    <row r="34" spans="1:8" x14ac:dyDescent="0.3">
      <c r="A34" s="12" t="s">
        <v>87</v>
      </c>
      <c r="B34" s="4">
        <v>45982</v>
      </c>
      <c r="H34" s="13"/>
    </row>
    <row r="35" spans="1:8" x14ac:dyDescent="0.3">
      <c r="A35" s="12"/>
      <c r="H35" s="13"/>
    </row>
    <row r="36" spans="1:8" x14ac:dyDescent="0.3">
      <c r="A36" s="8" t="s">
        <v>3</v>
      </c>
      <c r="B36" s="8" t="s">
        <v>4</v>
      </c>
      <c r="C36" s="8" t="s">
        <v>5</v>
      </c>
      <c r="D36" s="8" t="s">
        <v>16</v>
      </c>
      <c r="E36" s="8" t="s">
        <v>55</v>
      </c>
      <c r="F36" s="8" t="s">
        <v>27</v>
      </c>
      <c r="G36" s="8" t="s">
        <v>88</v>
      </c>
      <c r="H36" s="8" t="s">
        <v>22</v>
      </c>
    </row>
    <row r="37" spans="1:8" x14ac:dyDescent="0.3">
      <c r="A37" s="12"/>
      <c r="H37" s="13"/>
    </row>
    <row r="38" spans="1:8" x14ac:dyDescent="0.3">
      <c r="A38" s="24"/>
      <c r="B38" s="16"/>
      <c r="C38" s="16"/>
      <c r="D38" s="16"/>
      <c r="E38" s="16"/>
      <c r="F38" s="17" t="s">
        <v>89</v>
      </c>
      <c r="G38" s="25">
        <v>0</v>
      </c>
      <c r="H38" s="18"/>
    </row>
  </sheetData>
  <mergeCells count="6">
    <mergeCell ref="A5:N5"/>
    <mergeCell ref="A7:C10"/>
    <mergeCell ref="D7:F10"/>
    <mergeCell ref="G7:I10"/>
    <mergeCell ref="J7:L10"/>
    <mergeCell ref="M7:N10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C8636-8FE2-46E0-87E9-3888AC20D11E}">
  <sheetPr codeName="Sheet17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DF21C-A58C-4E6E-B41E-CEBFEDF4EAAB}">
  <sheetPr codeName="Sheet18"/>
  <dimension ref="A1:F3"/>
  <sheetViews>
    <sheetView workbookViewId="0">
      <selection activeCell="L25" sqref="L25"/>
    </sheetView>
  </sheetViews>
  <sheetFormatPr defaultRowHeight="14.4" x14ac:dyDescent="0.3"/>
  <cols>
    <col min="1" max="1" width="10.5546875" customWidth="1"/>
    <col min="2" max="2" width="13.77734375" customWidth="1"/>
    <col min="3" max="3" width="9.44140625" customWidth="1"/>
  </cols>
  <sheetData>
    <row r="1" spans="1:6" x14ac:dyDescent="0.3">
      <c r="A1" t="s">
        <v>215</v>
      </c>
      <c r="B1" t="s">
        <v>216</v>
      </c>
      <c r="C1" t="s">
        <v>217</v>
      </c>
      <c r="D1" t="s">
        <v>218</v>
      </c>
      <c r="E1" t="s">
        <v>219</v>
      </c>
      <c r="F1" t="s">
        <v>19</v>
      </c>
    </row>
    <row r="2" spans="1:6" x14ac:dyDescent="0.3">
      <c r="A2" t="s">
        <v>220</v>
      </c>
      <c r="B2" t="s">
        <v>98</v>
      </c>
      <c r="C2" t="s">
        <v>221</v>
      </c>
      <c r="D2" t="s">
        <v>222</v>
      </c>
      <c r="E2" t="s">
        <v>223</v>
      </c>
      <c r="F2" t="b">
        <v>1</v>
      </c>
    </row>
    <row r="3" spans="1:6" x14ac:dyDescent="0.3">
      <c r="A3" t="s">
        <v>224</v>
      </c>
      <c r="B3" t="s">
        <v>105</v>
      </c>
      <c r="F3" t="b">
        <v>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8</vt:i4>
      </vt:variant>
    </vt:vector>
  </HeadingPairs>
  <TitlesOfParts>
    <vt:vector size="26" baseType="lpstr">
      <vt:lpstr>Sheet1</vt:lpstr>
      <vt:lpstr>MAIN</vt:lpstr>
      <vt:lpstr>CLOSEOUT</vt:lpstr>
      <vt:lpstr>ORDER</vt:lpstr>
      <vt:lpstr>INVENTORY</vt:lpstr>
      <vt:lpstr>RECIPES</vt:lpstr>
      <vt:lpstr>MENU_ENGINEERING</vt:lpstr>
      <vt:lpstr>LABOR</vt:lpstr>
      <vt:lpstr>DATA_SALES</vt:lpstr>
      <vt:lpstr>DATA_COUNTS</vt:lpstr>
      <vt:lpstr>DATA_DELIVERIES</vt:lpstr>
      <vt:lpstr>DATA_STAFF</vt:lpstr>
      <vt:lpstr>DATA_ITEMS</vt:lpstr>
      <vt:lpstr>SETTINGS</vt:lpstr>
      <vt:lpstr>PIVOTS</vt:lpstr>
      <vt:lpstr>SNAPSHOTS</vt:lpstr>
      <vt:lpstr>ORDERS</vt:lpstr>
      <vt:lpstr>DATA_VENDORS</vt:lpstr>
      <vt:lpstr>cardLaborPct</vt:lpstr>
      <vt:lpstr>cardNetSales</vt:lpstr>
      <vt:lpstr>cardPourCost</vt:lpstr>
      <vt:lpstr>cardPrimePct</vt:lpstr>
      <vt:lpstr>cardShrinkPct</vt:lpstr>
      <vt:lpstr>nmLastPONum</vt:lpstr>
      <vt:lpstr>nmSalesTaxRate</vt:lpstr>
      <vt:lpstr>ORDER!Print_Area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Bryce Armeni</dc:creator>
  <cp:lastModifiedBy>Bryce Armeni</cp:lastModifiedBy>
  <cp:lastPrinted>2025-11-24T22:37:03Z</cp:lastPrinted>
  <dcterms:created xsi:type="dcterms:W3CDTF">2025-11-21T10:53:53Z</dcterms:created>
  <dcterms:modified xsi:type="dcterms:W3CDTF">2026-02-11T00:32:20Z</dcterms:modified>
</cp:coreProperties>
</file>